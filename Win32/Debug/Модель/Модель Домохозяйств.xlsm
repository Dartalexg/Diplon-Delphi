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2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Diplon-Delphi\Win32\Debug\Модель\"/>
    </mc:Choice>
  </mc:AlternateContent>
  <xr:revisionPtr revIDLastSave="0" documentId="13_ncr:1_{D7F30BFB-75F6-4D2E-9B1D-9B88E65E5A48}" xr6:coauthVersionLast="40" xr6:coauthVersionMax="40" xr10:uidLastSave="{00000000-0000-0000-0000-000000000000}"/>
  <bookViews>
    <workbookView xWindow="720" yWindow="450" windowWidth="16485" windowHeight="9315" tabRatio="484" activeTab="4" xr2:uid="{00000000-000D-0000-FFFF-FFFF00000000}"/>
  </bookViews>
  <sheets>
    <sheet name="выход" sheetId="17" r:id="rId1"/>
    <sheet name="вход" sheetId="16" r:id="rId2"/>
    <sheet name="расслоение" sheetId="12" r:id="rId3"/>
    <sheet name="Прожит минимум" sheetId="21" r:id="rId4"/>
    <sheet name="матрица расходов" sheetId="13" r:id="rId5"/>
    <sheet name="Коэфф фондов" sheetId="20" r:id="rId6"/>
    <sheet name="доходы" sheetId="14" r:id="rId7"/>
    <sheet name="расходы" sheetId="15" r:id="rId8"/>
    <sheet name="Д1" sheetId="2" r:id="rId9"/>
    <sheet name="Д2" sheetId="3" r:id="rId10"/>
    <sheet name="Д3" sheetId="4" r:id="rId11"/>
    <sheet name="Д4" sheetId="5" r:id="rId12"/>
    <sheet name="Д5" sheetId="6" r:id="rId13"/>
    <sheet name="Д6" sheetId="7" r:id="rId14"/>
    <sheet name="Д7" sheetId="8" r:id="rId15"/>
    <sheet name="Д8" sheetId="9" r:id="rId16"/>
    <sheet name="Д9" sheetId="10" r:id="rId17"/>
    <sheet name="Д10" sheetId="11" r:id="rId18"/>
    <sheet name="Лист1" sheetId="1" r:id="rId19"/>
    <sheet name="Лист2" sheetId="18" r:id="rId20"/>
    <sheet name="Лист3" sheetId="19" r:id="rId21"/>
  </sheets>
  <externalReferences>
    <externalReference r:id="rId22"/>
    <externalReference r:id="rId23"/>
    <externalReference r:id="rId24"/>
  </externalReferences>
  <definedNames>
    <definedName name="decdoh2016">расслоение!$G$80:$P$80</definedName>
    <definedName name="decdoh2017">расслоение!$G$111:$P$111</definedName>
    <definedName name="decdoh2018">расслоение!$G$144:$P$144</definedName>
    <definedName name="decdoh2019">расслоение!$G$177:$P$177</definedName>
    <definedName name="decdoh2020">расслоение!$G$209:$P$209</definedName>
    <definedName name="decdoh2021">расслоение!$G$209:$P$209</definedName>
    <definedName name="decdoh2022">расслоение!$G$268:$P$268</definedName>
    <definedName name="decdoh2023">расслоение!$G$296:$P$296</definedName>
    <definedName name="decdoh2024">расслоение!$G$325:$P$325</definedName>
    <definedName name="decdoh2025">расслоение!$G$354:$P$354</definedName>
    <definedName name="decdoh2026">расслоение!$G$383:$P$383</definedName>
    <definedName name="decdoh2027">расслоение!$G$412:$P$412</definedName>
    <definedName name="decdoh2028">расслоение!$G$441:$P$441</definedName>
    <definedName name="decdoh2029">расслоение!$G$470:$P$470</definedName>
    <definedName name="decdoh2030">расслоение!$G$499:$P$499</definedName>
    <definedName name="dohod2016">расслоение!$R$52</definedName>
    <definedName name="dohod2017">расслоение!$S$52</definedName>
    <definedName name="dohod2018">расслоение!$T$52</definedName>
    <definedName name="dohod2019">расслоение!$U$52</definedName>
    <definedName name="dohod2020">расслоение!$V$52</definedName>
    <definedName name="dohod2021">расслоение!$W$52</definedName>
    <definedName name="dohod2022">расслоение!$X$52</definedName>
    <definedName name="dohod2023">расслоение!$Y$52</definedName>
    <definedName name="dohod2024">расслоение!$Z$52</definedName>
    <definedName name="dohod2025">расслоение!$AA$52</definedName>
    <definedName name="dohod2026">расслоение!$AB$52</definedName>
    <definedName name="dohod2027">расслоение!$AC$52</definedName>
    <definedName name="dohod2028">расслоение!$AD$52</definedName>
    <definedName name="dohod2029">расслоение!$AE$52</definedName>
    <definedName name="dohod2030">расслоение!$AF$52</definedName>
    <definedName name="dohod2031">расслоение!$AG$52</definedName>
    <definedName name="Dohvnebud">расслоение!$I$64</definedName>
    <definedName name="DRRD">доходы!$B$7:$K$7</definedName>
    <definedName name="DRRR">расходы!$C$6:$L$6</definedName>
    <definedName name="input201">расслоение!$AG$48:$AG$51</definedName>
    <definedName name="input2016">расслоение!$R$48:$R$51</definedName>
    <definedName name="input2017">расслоение!$S$48:$S$51</definedName>
    <definedName name="input2018">расслоение!$T$48:$T$51</definedName>
    <definedName name="input2019">расслоение!$U$48:$U$51</definedName>
    <definedName name="input2020">расслоение!$V$48:$V$51</definedName>
    <definedName name="input2021">расслоение!$W$48:$W$51</definedName>
    <definedName name="input2022">расслоение!$X$48:$X$51</definedName>
    <definedName name="input2023">расслоение!$Y$48:$Y$51</definedName>
    <definedName name="input2024">расслоение!$Z$48:$Z$51</definedName>
    <definedName name="input2025">расслоение!$AA$48:$AA$51</definedName>
    <definedName name="input2026">расслоение!$AB$48:$AB$51</definedName>
    <definedName name="input2027">расслоение!$AC$48:$AC$51</definedName>
    <definedName name="input2028">расслоение!$AD$48:$AD$51</definedName>
    <definedName name="input2029">расслоение!$AE$48:$AE$51</definedName>
    <definedName name="input2030">расслоение!$AF$48:$AF$51</definedName>
    <definedName name="input2031">расслоение!$AG$48:$AG$51</definedName>
    <definedName name="NA">доходы!$F$2</definedName>
    <definedName name="ndec1_2016">расслоение!$O$58</definedName>
    <definedName name="ndec1_2017">расслоение!$O$89</definedName>
    <definedName name="ndec1_2018">расслоение!$O$122</definedName>
    <definedName name="ndec1_2019">расслоение!$O$155</definedName>
    <definedName name="ndec1_2020">расслоение!$O$187</definedName>
    <definedName name="ndec1_2021">расслоение!$O$218</definedName>
    <definedName name="ndec1_2022">расслоение!$O$247</definedName>
    <definedName name="ndec1_2023">расслоение!$O$275</definedName>
    <definedName name="ndec1_2024">расслоение!$O$304</definedName>
    <definedName name="ndec1_2025">расслоение!$O$333</definedName>
    <definedName name="ndec1_2026">расслоение!$O$362</definedName>
    <definedName name="ndec1_2027">расслоение!$O$391</definedName>
    <definedName name="ndec1_2028">расслоение!$O$420</definedName>
    <definedName name="ndec1_2029">расслоение!$O$449</definedName>
    <definedName name="ndec1_2030">расслоение!$O$478</definedName>
    <definedName name="NNNdec1_2016">расслоение!$O$64</definedName>
    <definedName name="NNNdec1_2017">расслоение!$O$95</definedName>
    <definedName name="NNNdec1_2018">расслоение!$O$128</definedName>
    <definedName name="NNNdec1_2019">расслоение!$O$161</definedName>
    <definedName name="NNNdec1_2020">расслоение!$O$193</definedName>
    <definedName name="NNNdec1_2021">расслоение!$O$224</definedName>
    <definedName name="NNNdec1_2022">расслоение!$O$253</definedName>
    <definedName name="NNNdec1_2023">расслоение!$O$281</definedName>
    <definedName name="NNNdec1_2024">расслоение!$O$310</definedName>
    <definedName name="NNNdec1_2025">расслоение!$O$339</definedName>
    <definedName name="NNNdec1_2026">расслоение!$O$368</definedName>
    <definedName name="NNNdec1_2027">расслоение!$O$397</definedName>
    <definedName name="NNNdec1_2028">расслоение!$O$426</definedName>
    <definedName name="NNNdec1_2029">расслоение!$O$455</definedName>
    <definedName name="NNNdec1_2030">расслоение!$O$484</definedName>
    <definedName name="p_1">расслоение!$G$64</definedName>
    <definedName name="ParDec1">расслоение!$G$64:$I$64</definedName>
    <definedName name="QU">расслоение!$L$64</definedName>
    <definedName name="solver_adj" localSheetId="2" hidden="1">расслоение!$G$65:$I$65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расслоение!$L$64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расслоение!$G$57</definedName>
    <definedName name="solver_pre" localSheetId="2" hidden="1">0.000001</definedName>
    <definedName name="solver_rbv" localSheetId="2" hidden="1">1</definedName>
    <definedName name="solver_rel1" localSheetId="2" hidden="1">2</definedName>
    <definedName name="solver_rhs1" localSheetId="2" hidden="1">1.37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  <definedName name="TempRostaSocTr2016">расслоение!$G$58</definedName>
    <definedName name="TempRostaSocTr2017">расслоение!$G$89</definedName>
    <definedName name="TempRostaZPBud">расслоение!$G$62:$P$62</definedName>
    <definedName name="z1bud">расслоение!$H$64</definedName>
  </definedNames>
  <calcPr calcId="191029"/>
</workbook>
</file>

<file path=xl/calcChain.xml><?xml version="1.0" encoding="utf-8"?>
<calcChain xmlns="http://schemas.openxmlformats.org/spreadsheetml/2006/main">
  <c r="O27" i="17" l="1"/>
  <c r="O28" i="17" s="1"/>
  <c r="T8" i="17" l="1"/>
  <c r="T7" i="17"/>
  <c r="O8" i="17"/>
  <c r="S7" i="17"/>
  <c r="S8" i="17"/>
  <c r="R8" i="17"/>
  <c r="R7" i="17"/>
  <c r="Q7" i="17"/>
  <c r="Q8" i="17"/>
  <c r="P8" i="17"/>
  <c r="P7" i="17"/>
  <c r="L7" i="17"/>
  <c r="O7" i="17"/>
  <c r="N8" i="17"/>
  <c r="N7" i="17"/>
  <c r="M8" i="17"/>
  <c r="M7" i="17"/>
  <c r="L8" i="17"/>
  <c r="K7" i="17"/>
  <c r="K8" i="17"/>
  <c r="J7" i="17"/>
  <c r="J8" i="17"/>
  <c r="I7" i="17"/>
  <c r="I8" i="17"/>
  <c r="H8" i="17"/>
  <c r="H7" i="17"/>
  <c r="F7" i="17" l="1"/>
  <c r="G8" i="17"/>
  <c r="G7" i="17"/>
  <c r="F8" i="17" l="1"/>
  <c r="O253" i="12" l="1"/>
  <c r="O224" i="12"/>
  <c r="M84" i="12" l="1"/>
  <c r="M54" i="12"/>
  <c r="B12" i="21"/>
  <c r="B17" i="21"/>
  <c r="C17" i="21"/>
  <c r="D17" i="21"/>
  <c r="E17" i="21"/>
  <c r="F17" i="21"/>
  <c r="G17" i="21"/>
  <c r="H17" i="21"/>
  <c r="I17" i="21"/>
  <c r="J17" i="21"/>
  <c r="K17" i="21"/>
  <c r="L17" i="21"/>
  <c r="M17" i="21"/>
  <c r="N17" i="21"/>
  <c r="O17" i="21"/>
  <c r="P17" i="21"/>
  <c r="Q17" i="21"/>
  <c r="R17" i="21"/>
  <c r="S17" i="21"/>
  <c r="T17" i="21"/>
  <c r="U17" i="21"/>
  <c r="V17" i="21"/>
  <c r="W17" i="21"/>
  <c r="X17" i="21"/>
  <c r="Y17" i="21"/>
  <c r="Z17" i="21"/>
  <c r="B18" i="21"/>
  <c r="C18" i="21"/>
  <c r="D18" i="21"/>
  <c r="E18" i="21"/>
  <c r="F18" i="21"/>
  <c r="G18" i="21"/>
  <c r="H18" i="21"/>
  <c r="I18" i="21"/>
  <c r="J18" i="21"/>
  <c r="K18" i="21"/>
  <c r="L18" i="21"/>
  <c r="M18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B19" i="21"/>
  <c r="C19" i="21"/>
  <c r="D19" i="21"/>
  <c r="E19" i="21"/>
  <c r="F19" i="21"/>
  <c r="G19" i="21"/>
  <c r="H19" i="21"/>
  <c r="I19" i="21"/>
  <c r="J19" i="21"/>
  <c r="K19" i="21"/>
  <c r="L19" i="21"/>
  <c r="M19" i="21"/>
  <c r="N19" i="21"/>
  <c r="O19" i="21"/>
  <c r="P19" i="21"/>
  <c r="Q19" i="21"/>
  <c r="R19" i="21"/>
  <c r="S19" i="21"/>
  <c r="T19" i="21"/>
  <c r="U19" i="21"/>
  <c r="V19" i="21"/>
  <c r="W19" i="21"/>
  <c r="X19" i="21"/>
  <c r="Y19" i="21"/>
  <c r="Z19" i="21"/>
  <c r="C16" i="21"/>
  <c r="D16" i="21"/>
  <c r="E16" i="21"/>
  <c r="F16" i="21"/>
  <c r="G16" i="21"/>
  <c r="H16" i="21"/>
  <c r="I16" i="21"/>
  <c r="J16" i="21"/>
  <c r="K16" i="21"/>
  <c r="L16" i="21"/>
  <c r="M16" i="21"/>
  <c r="N16" i="21"/>
  <c r="O16" i="21"/>
  <c r="P16" i="21"/>
  <c r="Q16" i="21"/>
  <c r="R16" i="21"/>
  <c r="S16" i="21"/>
  <c r="T16" i="21"/>
  <c r="U16" i="21"/>
  <c r="V16" i="21"/>
  <c r="W16" i="21"/>
  <c r="X16" i="21"/>
  <c r="Y16" i="21"/>
  <c r="Z16" i="21"/>
  <c r="B16" i="21"/>
  <c r="D5" i="21" l="1"/>
  <c r="E5" i="21" s="1"/>
  <c r="F5" i="21" s="1"/>
  <c r="G5" i="21" s="1"/>
  <c r="H5" i="21" s="1"/>
  <c r="I5" i="21" s="1"/>
  <c r="J5" i="21" s="1"/>
  <c r="K5" i="21" s="1"/>
  <c r="L5" i="21" s="1"/>
  <c r="M5" i="21" s="1"/>
  <c r="N5" i="21" s="1"/>
  <c r="O5" i="21" s="1"/>
  <c r="P5" i="21" s="1"/>
  <c r="M474" i="12" s="1"/>
  <c r="M117" i="12" l="1"/>
  <c r="M214" i="12"/>
  <c r="M243" i="12"/>
  <c r="M182" i="12"/>
  <c r="M387" i="12"/>
  <c r="M329" i="12"/>
  <c r="M416" i="12"/>
  <c r="M271" i="12"/>
  <c r="M358" i="12"/>
  <c r="M445" i="12"/>
  <c r="M300" i="12"/>
  <c r="M150" i="12"/>
  <c r="F33" i="14"/>
  <c r="O484" i="12" l="1"/>
  <c r="O478" i="12" s="1"/>
  <c r="O455" i="12"/>
  <c r="O449" i="12" s="1"/>
  <c r="O426" i="12"/>
  <c r="O420" i="12" s="1"/>
  <c r="O397" i="12"/>
  <c r="O391" i="12" s="1"/>
  <c r="O368" i="12"/>
  <c r="O362" i="12" s="1"/>
  <c r="O339" i="12"/>
  <c r="O333" i="12" s="1"/>
  <c r="O310" i="12"/>
  <c r="O304" i="12" s="1"/>
  <c r="O281" i="12"/>
  <c r="O275" i="12" s="1"/>
  <c r="O247" i="12"/>
  <c r="O218" i="12"/>
  <c r="C1" i="20"/>
  <c r="D1" i="20"/>
  <c r="E1" i="20"/>
  <c r="F1" i="20"/>
  <c r="G1" i="20"/>
  <c r="H1" i="20"/>
  <c r="I1" i="20"/>
  <c r="J1" i="20"/>
  <c r="K1" i="20"/>
  <c r="L1" i="20"/>
  <c r="M1" i="20"/>
  <c r="N1" i="20"/>
  <c r="O1" i="20"/>
  <c r="P1" i="20"/>
  <c r="B1" i="20"/>
  <c r="P2" i="12"/>
  <c r="P2" i="20" s="1"/>
  <c r="O2" i="12"/>
  <c r="O2" i="20" s="1"/>
  <c r="N2" i="12"/>
  <c r="N2" i="20" s="1"/>
  <c r="M2" i="12"/>
  <c r="M2" i="20" s="1"/>
  <c r="L2" i="12"/>
  <c r="L2" i="20" s="1"/>
  <c r="K2" i="12"/>
  <c r="K2" i="20" s="1"/>
  <c r="J2" i="12"/>
  <c r="J2" i="20" s="1"/>
  <c r="I2" i="12"/>
  <c r="I2" i="20" s="1"/>
  <c r="H2" i="12"/>
  <c r="H2" i="20" s="1"/>
  <c r="G2" i="12"/>
  <c r="G2" i="20" s="1"/>
  <c r="F2" i="12"/>
  <c r="F2" i="20" s="1"/>
  <c r="E2" i="12"/>
  <c r="E2" i="20" s="1"/>
  <c r="D2" i="12"/>
  <c r="D2" i="20" s="1"/>
  <c r="C2" i="12"/>
  <c r="C2" i="20" s="1"/>
  <c r="B2" i="12"/>
  <c r="B2" i="20" s="1"/>
  <c r="I91" i="12" l="1"/>
  <c r="O193" i="12" l="1"/>
  <c r="O187" i="12" s="1"/>
  <c r="I189" i="12"/>
  <c r="G189" i="12"/>
  <c r="O161" i="12"/>
  <c r="O155" i="12" s="1"/>
  <c r="I157" i="12" l="1"/>
  <c r="G157" i="12"/>
  <c r="O128" i="12"/>
  <c r="O122" i="12" s="1"/>
  <c r="I124" i="12"/>
  <c r="G124" i="12"/>
  <c r="O95" i="12"/>
  <c r="O64" i="12"/>
  <c r="B24" i="16"/>
  <c r="G91" i="12"/>
  <c r="I60" i="12"/>
  <c r="B57" i="12"/>
  <c r="Q63" i="12" l="1"/>
  <c r="G480" i="12" l="1"/>
  <c r="G451" i="12"/>
  <c r="G422" i="12"/>
  <c r="G393" i="12"/>
  <c r="G364" i="12"/>
  <c r="G335" i="12"/>
  <c r="G306" i="12"/>
  <c r="G277" i="12"/>
  <c r="G249" i="12"/>
  <c r="G220" i="12"/>
  <c r="B35" i="11" l="1"/>
  <c r="E28" i="11"/>
  <c r="D28" i="11"/>
  <c r="C28" i="11"/>
  <c r="B35" i="10"/>
  <c r="E28" i="10"/>
  <c r="D28" i="10"/>
  <c r="C28" i="10"/>
  <c r="B35" i="9"/>
  <c r="E28" i="9"/>
  <c r="D28" i="9"/>
  <c r="C28" i="9"/>
  <c r="B35" i="8"/>
  <c r="E28" i="8"/>
  <c r="D28" i="8"/>
  <c r="C28" i="8"/>
  <c r="B35" i="7"/>
  <c r="E28" i="7"/>
  <c r="D28" i="7"/>
  <c r="C28" i="7"/>
  <c r="B35" i="6"/>
  <c r="E28" i="6"/>
  <c r="D28" i="6"/>
  <c r="C28" i="6"/>
  <c r="B35" i="5"/>
  <c r="E28" i="5"/>
  <c r="D28" i="5"/>
  <c r="C28" i="5"/>
  <c r="B35" i="4"/>
  <c r="E28" i="4"/>
  <c r="D28" i="4"/>
  <c r="C28" i="4"/>
  <c r="B35" i="3"/>
  <c r="E28" i="3"/>
  <c r="D28" i="3"/>
  <c r="C28" i="3"/>
  <c r="L48" i="15" l="1"/>
  <c r="K48" i="15"/>
  <c r="J48" i="15"/>
  <c r="I48" i="15"/>
  <c r="H48" i="15"/>
  <c r="G48" i="15"/>
  <c r="F48" i="15"/>
  <c r="E48" i="15"/>
  <c r="D48" i="15"/>
  <c r="C48" i="15"/>
  <c r="L44" i="15"/>
  <c r="K44" i="15"/>
  <c r="J44" i="15"/>
  <c r="I44" i="15"/>
  <c r="H44" i="15"/>
  <c r="G44" i="15"/>
  <c r="F44" i="15"/>
  <c r="E44" i="15"/>
  <c r="D44" i="15"/>
  <c r="C44" i="15"/>
  <c r="L40" i="15"/>
  <c r="K40" i="15"/>
  <c r="J40" i="15"/>
  <c r="I40" i="15"/>
  <c r="H40" i="15"/>
  <c r="G40" i="15"/>
  <c r="F40" i="15"/>
  <c r="E40" i="15"/>
  <c r="D40" i="15"/>
  <c r="C40" i="15"/>
  <c r="L34" i="15"/>
  <c r="K34" i="15"/>
  <c r="J34" i="15"/>
  <c r="I34" i="15"/>
  <c r="H34" i="15"/>
  <c r="G34" i="15"/>
  <c r="F34" i="15"/>
  <c r="E34" i="15"/>
  <c r="D34" i="15"/>
  <c r="C34" i="15"/>
  <c r="L30" i="15"/>
  <c r="K30" i="15"/>
  <c r="J30" i="15"/>
  <c r="I30" i="15"/>
  <c r="H30" i="15"/>
  <c r="G30" i="15"/>
  <c r="F30" i="15"/>
  <c r="E30" i="15"/>
  <c r="D30" i="15"/>
  <c r="C30" i="15"/>
  <c r="L26" i="15"/>
  <c r="K26" i="15"/>
  <c r="J26" i="15"/>
  <c r="I26" i="15"/>
  <c r="H26" i="15"/>
  <c r="G26" i="15"/>
  <c r="F26" i="15"/>
  <c r="E26" i="15"/>
  <c r="D26" i="15"/>
  <c r="C26" i="15"/>
  <c r="E28" i="2"/>
  <c r="D28" i="2"/>
  <c r="C28" i="2"/>
  <c r="L7" i="13" l="1"/>
  <c r="K7" i="13"/>
  <c r="J7" i="13"/>
  <c r="I7" i="13"/>
  <c r="H7" i="13"/>
  <c r="G7" i="13"/>
  <c r="F7" i="13"/>
  <c r="E7" i="13"/>
  <c r="D7" i="13"/>
  <c r="C7" i="13"/>
  <c r="S42" i="12"/>
  <c r="S37" i="12"/>
  <c r="S51" i="12" s="1"/>
  <c r="R94" i="12" s="1"/>
  <c r="G60" i="12"/>
  <c r="S44" i="12" l="1"/>
  <c r="R42" i="12" l="1"/>
  <c r="Q42" i="12"/>
  <c r="P42" i="12"/>
  <c r="O42" i="12"/>
  <c r="N42" i="12"/>
  <c r="M42" i="12"/>
  <c r="L42" i="12"/>
  <c r="K42" i="12"/>
  <c r="J42" i="12"/>
  <c r="I42" i="12"/>
  <c r="H42" i="12"/>
  <c r="G42" i="12"/>
  <c r="R37" i="12"/>
  <c r="R51" i="12" s="1"/>
  <c r="R63" i="12" s="1"/>
  <c r="Q37" i="12"/>
  <c r="Q51" i="12" s="1"/>
  <c r="P37" i="12"/>
  <c r="P51" i="12" s="1"/>
  <c r="O37" i="12"/>
  <c r="O51" i="12" s="1"/>
  <c r="N37" i="12"/>
  <c r="N51" i="12" s="1"/>
  <c r="M37" i="12"/>
  <c r="M51" i="12" s="1"/>
  <c r="L37" i="12"/>
  <c r="L51" i="12" s="1"/>
  <c r="K37" i="12"/>
  <c r="K51" i="12" s="1"/>
  <c r="J37" i="12"/>
  <c r="J51" i="12" s="1"/>
  <c r="I37" i="12"/>
  <c r="I51" i="12" s="1"/>
  <c r="H37" i="12"/>
  <c r="H51" i="12" s="1"/>
  <c r="G37" i="12"/>
  <c r="G51" i="12" s="1"/>
  <c r="K44" i="12" l="1"/>
  <c r="N44" i="12"/>
  <c r="G44" i="12"/>
  <c r="O44" i="12"/>
  <c r="J44" i="12"/>
  <c r="R44" i="12"/>
  <c r="H44" i="12"/>
  <c r="L44" i="12"/>
  <c r="P44" i="12"/>
  <c r="I44" i="12"/>
  <c r="M44" i="12"/>
  <c r="Q44" i="12"/>
  <c r="B35" i="2"/>
  <c r="B13" i="1"/>
  <c r="B14" i="1"/>
  <c r="B15" i="1"/>
  <c r="B16" i="1"/>
  <c r="B17" i="1"/>
  <c r="B18" i="1"/>
  <c r="B19" i="1"/>
  <c r="B20" i="1"/>
  <c r="B21" i="1"/>
  <c r="B12" i="1"/>
  <c r="O58" i="12" l="1"/>
  <c r="O60" i="12" l="1"/>
  <c r="K58" i="12"/>
  <c r="G64" i="12" s="1"/>
  <c r="I58" i="12" s="1"/>
  <c r="G58" i="12" s="1"/>
  <c r="L69" i="12" s="1"/>
  <c r="G69" i="12" l="1"/>
  <c r="N69" i="12"/>
  <c r="H69" i="12"/>
  <c r="P69" i="12"/>
  <c r="J69" i="12"/>
  <c r="I69" i="12"/>
  <c r="O69" i="12"/>
  <c r="M69" i="12"/>
  <c r="K69" i="12"/>
  <c r="E70" i="12" l="1"/>
  <c r="O89" i="12" l="1"/>
  <c r="G36" i="12" l="1"/>
  <c r="G43" i="12" s="1"/>
  <c r="G48" i="12" l="1"/>
  <c r="G49" i="12" s="1"/>
  <c r="T37" i="12" l="1"/>
  <c r="T51" i="12" s="1"/>
  <c r="R127" i="12" s="1"/>
  <c r="U37" i="12" l="1"/>
  <c r="U51" i="12" s="1"/>
  <c r="R160" i="12" s="1"/>
  <c r="V37" i="12" l="1"/>
  <c r="V51" i="12" s="1"/>
  <c r="R192" i="12" s="1"/>
  <c r="W37" i="12" l="1"/>
  <c r="W51" i="12" s="1"/>
  <c r="R223" i="12" s="1"/>
  <c r="X37" i="12" l="1"/>
  <c r="X51" i="12" s="1"/>
  <c r="R252" i="12" s="1"/>
  <c r="Y37" i="12" l="1"/>
  <c r="Y51" i="12" s="1"/>
  <c r="R280" i="12" s="1"/>
  <c r="Z37" i="12" l="1"/>
  <c r="Z51" i="12" s="1"/>
  <c r="R309" i="12" s="1"/>
  <c r="AA37" i="12" l="1"/>
  <c r="AA51" i="12" s="1"/>
  <c r="R338" i="12" s="1"/>
  <c r="AB37" i="12" l="1"/>
  <c r="AB51" i="12" s="1"/>
  <c r="R367" i="12" s="1"/>
  <c r="AC37" i="12" l="1"/>
  <c r="AC51" i="12" s="1"/>
  <c r="R396" i="12" s="1"/>
  <c r="AD37" i="12" l="1"/>
  <c r="AD51" i="12" s="1"/>
  <c r="R425" i="12" s="1"/>
  <c r="AE37" i="12" l="1"/>
  <c r="AE51" i="12" s="1"/>
  <c r="R454" i="12" s="1"/>
  <c r="AF37" i="12" l="1"/>
  <c r="AF51" i="12" s="1"/>
  <c r="R483" i="12" s="1"/>
  <c r="O36" i="12" l="1"/>
  <c r="O43" i="12" s="1"/>
  <c r="L36" i="12"/>
  <c r="L43" i="12" s="1"/>
  <c r="AG37" i="12"/>
  <c r="AG51" i="12" s="1"/>
  <c r="I36" i="12" l="1"/>
  <c r="I43" i="12" s="1"/>
  <c r="J36" i="12"/>
  <c r="J43" i="12" s="1"/>
  <c r="N36" i="12"/>
  <c r="N43" i="12" s="1"/>
  <c r="M36" i="12"/>
  <c r="M43" i="12" s="1"/>
  <c r="H36" i="12"/>
  <c r="H43" i="12" s="1"/>
  <c r="K36" i="12"/>
  <c r="K43" i="12" s="1"/>
  <c r="H48" i="12" l="1"/>
  <c r="H49" i="12" s="1"/>
  <c r="I48" i="12" l="1"/>
  <c r="I49" i="12" s="1"/>
  <c r="J48" i="12" l="1"/>
  <c r="J49" i="12" s="1"/>
  <c r="K48" i="12" l="1"/>
  <c r="K49" i="12" s="1"/>
  <c r="L48" i="12" l="1"/>
  <c r="L49" i="12" s="1"/>
  <c r="M48" i="12" l="1"/>
  <c r="M49" i="12" s="1"/>
  <c r="Q36" i="12" l="1"/>
  <c r="Q43" i="12" s="1"/>
  <c r="P36" i="12"/>
  <c r="P43" i="12" s="1"/>
  <c r="R36" i="12"/>
  <c r="R43" i="12" s="1"/>
  <c r="N48" i="12" l="1"/>
  <c r="N49" i="12" s="1"/>
  <c r="O48" i="12" l="1"/>
  <c r="O49" i="12" s="1"/>
  <c r="P48" i="12" l="1"/>
  <c r="P49" i="12" s="1"/>
  <c r="S36" i="12" l="1"/>
  <c r="T29" i="12"/>
  <c r="T36" i="12"/>
  <c r="T50" i="12" l="1"/>
  <c r="S50" i="12"/>
  <c r="S43" i="12"/>
  <c r="K89" i="12" l="1"/>
  <c r="G95" i="12" s="1"/>
  <c r="Q94" i="12"/>
  <c r="Q127" i="12"/>
  <c r="K122" i="12"/>
  <c r="G128" i="12" s="1"/>
  <c r="U36" i="12"/>
  <c r="V36" i="12"/>
  <c r="V50" i="12" l="1"/>
  <c r="I122" i="12"/>
  <c r="G122" i="12" s="1"/>
  <c r="K133" i="12" s="1"/>
  <c r="G133" i="12"/>
  <c r="U50" i="12"/>
  <c r="J100" i="12"/>
  <c r="N100" i="12"/>
  <c r="L100" i="12"/>
  <c r="P100" i="12"/>
  <c r="O100" i="12"/>
  <c r="M100" i="12"/>
  <c r="K100" i="12"/>
  <c r="I89" i="12"/>
  <c r="G89" i="12" s="1"/>
  <c r="H100" i="12" s="1"/>
  <c r="I100" i="12"/>
  <c r="G100" i="12"/>
  <c r="W36" i="12"/>
  <c r="H133" i="12" l="1"/>
  <c r="E101" i="12"/>
  <c r="I133" i="12"/>
  <c r="O133" i="12"/>
  <c r="P133" i="12"/>
  <c r="W50" i="12"/>
  <c r="K155" i="12"/>
  <c r="G161" i="12" s="1"/>
  <c r="Q160" i="12"/>
  <c r="N133" i="12"/>
  <c r="M133" i="12"/>
  <c r="L133" i="12"/>
  <c r="J133" i="12"/>
  <c r="Q192" i="12"/>
  <c r="K187" i="12"/>
  <c r="G193" i="12" s="1"/>
  <c r="X36" i="12"/>
  <c r="E134" i="12" l="1"/>
  <c r="X50" i="12"/>
  <c r="G198" i="12"/>
  <c r="I187" i="12"/>
  <c r="G187" i="12" s="1"/>
  <c r="N198" i="12" s="1"/>
  <c r="I155" i="12"/>
  <c r="G155" i="12" s="1"/>
  <c r="O166" i="12" s="1"/>
  <c r="G166" i="12"/>
  <c r="Q223" i="12"/>
  <c r="K218" i="12"/>
  <c r="G224" i="12" s="1"/>
  <c r="N166" i="12" l="1"/>
  <c r="P166" i="12"/>
  <c r="J166" i="12"/>
  <c r="L166" i="12"/>
  <c r="L198" i="12"/>
  <c r="H166" i="12"/>
  <c r="I166" i="12"/>
  <c r="J198" i="12"/>
  <c r="O198" i="12"/>
  <c r="M198" i="12"/>
  <c r="H198" i="12"/>
  <c r="I218" i="12"/>
  <c r="G218" i="12" s="1"/>
  <c r="P228" i="12" s="1"/>
  <c r="G228" i="12"/>
  <c r="M166" i="12"/>
  <c r="K166" i="12"/>
  <c r="K198" i="12"/>
  <c r="I198" i="12"/>
  <c r="P198" i="12"/>
  <c r="K247" i="12"/>
  <c r="G253" i="12" s="1"/>
  <c r="Q252" i="12"/>
  <c r="AA36" i="12"/>
  <c r="Z36" i="12"/>
  <c r="Y36" i="12"/>
  <c r="I228" i="12" l="1"/>
  <c r="J228" i="12"/>
  <c r="Z50" i="12"/>
  <c r="M228" i="12"/>
  <c r="N228" i="12"/>
  <c r="Y50" i="12"/>
  <c r="I247" i="12"/>
  <c r="G247" i="12" s="1"/>
  <c r="M257" i="12" s="1"/>
  <c r="G257" i="12"/>
  <c r="H228" i="12"/>
  <c r="L228" i="12"/>
  <c r="AA50" i="12"/>
  <c r="K228" i="12"/>
  <c r="O228" i="12"/>
  <c r="E199" i="12"/>
  <c r="E167" i="12"/>
  <c r="AB36" i="12"/>
  <c r="P257" i="12" l="1"/>
  <c r="I257" i="12"/>
  <c r="E229" i="12"/>
  <c r="AB50" i="12"/>
  <c r="L257" i="12"/>
  <c r="J257" i="12"/>
  <c r="K275" i="12"/>
  <c r="G281" i="12" s="1"/>
  <c r="Q280" i="12"/>
  <c r="K333" i="12"/>
  <c r="G339" i="12" s="1"/>
  <c r="Q338" i="12"/>
  <c r="N257" i="12"/>
  <c r="K257" i="12"/>
  <c r="O257" i="12"/>
  <c r="H257" i="12"/>
  <c r="Q309" i="12"/>
  <c r="K304" i="12"/>
  <c r="G310" i="12" s="1"/>
  <c r="AC36" i="12"/>
  <c r="I333" i="12" l="1"/>
  <c r="G333" i="12" s="1"/>
  <c r="K343" i="12" s="1"/>
  <c r="G343" i="12"/>
  <c r="I304" i="12"/>
  <c r="G304" i="12" s="1"/>
  <c r="M314" i="12" s="1"/>
  <c r="G314" i="12"/>
  <c r="I275" i="12"/>
  <c r="G275" i="12" s="1"/>
  <c r="H285" i="12" s="1"/>
  <c r="G285" i="12"/>
  <c r="Q367" i="12"/>
  <c r="K362" i="12"/>
  <c r="G368" i="12" s="1"/>
  <c r="AC50" i="12"/>
  <c r="E258" i="12"/>
  <c r="AD36" i="12"/>
  <c r="J343" i="12" l="1"/>
  <c r="I343" i="12"/>
  <c r="P285" i="12"/>
  <c r="M285" i="12"/>
  <c r="L314" i="12"/>
  <c r="O285" i="12"/>
  <c r="P314" i="12"/>
  <c r="I285" i="12"/>
  <c r="AD50" i="12"/>
  <c r="I362" i="12"/>
  <c r="G362" i="12" s="1"/>
  <c r="L372" i="12" s="1"/>
  <c r="G372" i="12"/>
  <c r="K285" i="12"/>
  <c r="N285" i="12"/>
  <c r="I314" i="12"/>
  <c r="K314" i="12"/>
  <c r="N343" i="12"/>
  <c r="Q396" i="12"/>
  <c r="K391" i="12"/>
  <c r="G397" i="12" s="1"/>
  <c r="L285" i="12"/>
  <c r="J285" i="12"/>
  <c r="J314" i="12"/>
  <c r="N314" i="12"/>
  <c r="O314" i="12"/>
  <c r="O343" i="12"/>
  <c r="H343" i="12"/>
  <c r="M343" i="12"/>
  <c r="H314" i="12"/>
  <c r="P343" i="12"/>
  <c r="L343" i="12"/>
  <c r="AE36" i="12"/>
  <c r="O372" i="12" l="1"/>
  <c r="K372" i="12"/>
  <c r="AE50" i="12"/>
  <c r="E286" i="12"/>
  <c r="J372" i="12"/>
  <c r="H372" i="12"/>
  <c r="E315" i="12"/>
  <c r="M372" i="12"/>
  <c r="P372" i="12"/>
  <c r="Q425" i="12"/>
  <c r="K420" i="12"/>
  <c r="G426" i="12" s="1"/>
  <c r="E344" i="12"/>
  <c r="G401" i="12"/>
  <c r="I391" i="12"/>
  <c r="G391" i="12" s="1"/>
  <c r="J401" i="12" s="1"/>
  <c r="N372" i="12"/>
  <c r="I372" i="12"/>
  <c r="AF36" i="12"/>
  <c r="L401" i="12" l="1"/>
  <c r="N401" i="12"/>
  <c r="O401" i="12"/>
  <c r="K401" i="12"/>
  <c r="I420" i="12"/>
  <c r="G420" i="12" s="1"/>
  <c r="N430" i="12" s="1"/>
  <c r="G430" i="12"/>
  <c r="P401" i="12"/>
  <c r="M401" i="12"/>
  <c r="K449" i="12"/>
  <c r="G455" i="12" s="1"/>
  <c r="Q454" i="12"/>
  <c r="AF50" i="12"/>
  <c r="I401" i="12"/>
  <c r="H401" i="12"/>
  <c r="E373" i="12"/>
  <c r="E402" i="12" l="1"/>
  <c r="M430" i="12"/>
  <c r="I430" i="12"/>
  <c r="K478" i="12"/>
  <c r="G484" i="12" s="1"/>
  <c r="Q483" i="12"/>
  <c r="O430" i="12"/>
  <c r="L430" i="12"/>
  <c r="I449" i="12"/>
  <c r="G449" i="12" s="1"/>
  <c r="P459" i="12" s="1"/>
  <c r="G459" i="12"/>
  <c r="K430" i="12"/>
  <c r="P430" i="12"/>
  <c r="H430" i="12"/>
  <c r="J430" i="12"/>
  <c r="AG36" i="12"/>
  <c r="K459" i="12" l="1"/>
  <c r="I459" i="12"/>
  <c r="O459" i="12"/>
  <c r="AG50" i="12"/>
  <c r="E431" i="12"/>
  <c r="H459" i="12"/>
  <c r="J459" i="12"/>
  <c r="L459" i="12"/>
  <c r="N459" i="12"/>
  <c r="M459" i="12"/>
  <c r="I478" i="12"/>
  <c r="G478" i="12" s="1"/>
  <c r="K488" i="12" s="1"/>
  <c r="G488" i="12"/>
  <c r="E460" i="12" l="1"/>
  <c r="I488" i="12"/>
  <c r="M488" i="12"/>
  <c r="P488" i="12"/>
  <c r="J488" i="12"/>
  <c r="L488" i="12"/>
  <c r="H488" i="12"/>
  <c r="N488" i="12"/>
  <c r="O488" i="12"/>
  <c r="E489" i="12" l="1"/>
  <c r="Q48" i="12"/>
  <c r="Q49" i="12" s="1"/>
  <c r="R48" i="12" l="1"/>
  <c r="K59" i="12" l="1"/>
  <c r="H64" i="12" s="1"/>
  <c r="R49" i="12"/>
  <c r="R52" i="12" s="1"/>
  <c r="O65" i="12" s="1"/>
  <c r="O63" i="12"/>
  <c r="K60" i="12" l="1"/>
  <c r="I64" i="12" s="1"/>
  <c r="G77" i="12" s="1"/>
  <c r="H77" i="12" s="1"/>
  <c r="I77" i="12" s="1"/>
  <c r="J77" i="12" s="1"/>
  <c r="K77" i="12" s="1"/>
  <c r="L77" i="12" s="1"/>
  <c r="M77" i="12" s="1"/>
  <c r="N77" i="12" s="1"/>
  <c r="O77" i="12" s="1"/>
  <c r="P77" i="12" s="1"/>
  <c r="P63" i="12"/>
  <c r="I59" i="12"/>
  <c r="G59" i="12" s="1"/>
  <c r="O73" i="12" s="1"/>
  <c r="G73" i="12"/>
  <c r="H73" i="12" l="1"/>
  <c r="H80" i="12" s="1"/>
  <c r="K73" i="12"/>
  <c r="K80" i="12"/>
  <c r="L73" i="12"/>
  <c r="L80" i="12" s="1"/>
  <c r="G15" i="14" s="1"/>
  <c r="O80" i="12"/>
  <c r="I73" i="12"/>
  <c r="I80" i="12" s="1"/>
  <c r="D15" i="14"/>
  <c r="E12" i="13"/>
  <c r="A19" i="13" s="1"/>
  <c r="J15" i="14"/>
  <c r="K12" i="13"/>
  <c r="A31" i="13" s="1"/>
  <c r="J73" i="12"/>
  <c r="J80" i="12" s="1"/>
  <c r="P73" i="12"/>
  <c r="P80" i="12" s="1"/>
  <c r="M73" i="12"/>
  <c r="M80" i="12" s="1"/>
  <c r="N73" i="12"/>
  <c r="N80" i="12" s="1"/>
  <c r="G12" i="13"/>
  <c r="A23" i="13" s="1"/>
  <c r="F15" i="14"/>
  <c r="G80" i="12"/>
  <c r="C15" i="14"/>
  <c r="D12" i="13"/>
  <c r="A17" i="13" s="1"/>
  <c r="H12" i="13" l="1"/>
  <c r="A25" i="13" s="1"/>
  <c r="E80" i="12"/>
  <c r="B15" i="14"/>
  <c r="C12" i="13"/>
  <c r="A15" i="13" s="1"/>
  <c r="J22" i="14"/>
  <c r="J23" i="14" s="1"/>
  <c r="J19" i="14"/>
  <c r="J18" i="14"/>
  <c r="G24" i="13"/>
  <c r="C24" i="13"/>
  <c r="I25" i="13"/>
  <c r="F24" i="13"/>
  <c r="D24" i="13"/>
  <c r="H25" i="13"/>
  <c r="K25" i="13"/>
  <c r="J24" i="13"/>
  <c r="I24" i="13"/>
  <c r="J25" i="13"/>
  <c r="L24" i="13"/>
  <c r="C25" i="13"/>
  <c r="G25" i="13"/>
  <c r="D25" i="13"/>
  <c r="K24" i="13"/>
  <c r="E25" i="13"/>
  <c r="L25" i="13"/>
  <c r="E24" i="13"/>
  <c r="F25" i="13"/>
  <c r="H24" i="13"/>
  <c r="H17" i="13"/>
  <c r="C16" i="13"/>
  <c r="I17" i="13"/>
  <c r="K16" i="13"/>
  <c r="D17" i="13"/>
  <c r="F16" i="13"/>
  <c r="K17" i="13"/>
  <c r="H16" i="13"/>
  <c r="I16" i="13"/>
  <c r="F17" i="13"/>
  <c r="G17" i="13"/>
  <c r="L17" i="13"/>
  <c r="J17" i="13"/>
  <c r="C17" i="13"/>
  <c r="D16" i="13"/>
  <c r="E17" i="13"/>
  <c r="G16" i="13"/>
  <c r="E16" i="13"/>
  <c r="J16" i="13"/>
  <c r="L16" i="13"/>
  <c r="F18" i="14"/>
  <c r="F22" i="14"/>
  <c r="F23" i="14" s="1"/>
  <c r="F19" i="14"/>
  <c r="J18" i="13"/>
  <c r="L19" i="13"/>
  <c r="E18" i="13"/>
  <c r="K19" i="13"/>
  <c r="H19" i="13"/>
  <c r="K18" i="13"/>
  <c r="D19" i="13"/>
  <c r="D18" i="13"/>
  <c r="I19" i="13"/>
  <c r="J19" i="13"/>
  <c r="F18" i="13"/>
  <c r="C19" i="13"/>
  <c r="H18" i="13"/>
  <c r="G18" i="13"/>
  <c r="F19" i="13"/>
  <c r="L18" i="13"/>
  <c r="G19" i="13"/>
  <c r="E19" i="13"/>
  <c r="I18" i="13"/>
  <c r="C18" i="13"/>
  <c r="C22" i="14"/>
  <c r="C23" i="14" s="1"/>
  <c r="C18" i="14"/>
  <c r="C19" i="14"/>
  <c r="L22" i="13"/>
  <c r="E23" i="13"/>
  <c r="H22" i="13"/>
  <c r="G23" i="13"/>
  <c r="C22" i="13"/>
  <c r="H23" i="13"/>
  <c r="C23" i="13"/>
  <c r="K22" i="13"/>
  <c r="I23" i="13"/>
  <c r="K23" i="13"/>
  <c r="F23" i="13"/>
  <c r="E22" i="13"/>
  <c r="F22" i="13"/>
  <c r="G22" i="13"/>
  <c r="I22" i="13"/>
  <c r="L23" i="13"/>
  <c r="J23" i="13"/>
  <c r="D22" i="13"/>
  <c r="D23" i="13"/>
  <c r="J22" i="13"/>
  <c r="J12" i="13"/>
  <c r="A29" i="13" s="1"/>
  <c r="I15" i="14"/>
  <c r="K15" i="14"/>
  <c r="L12" i="13"/>
  <c r="A33" i="13" s="1"/>
  <c r="G57" i="12"/>
  <c r="B4" i="12" s="1"/>
  <c r="B4" i="20" s="1"/>
  <c r="D18" i="14"/>
  <c r="D19" i="14"/>
  <c r="D22" i="14"/>
  <c r="D23" i="14" s="1"/>
  <c r="E73" i="12"/>
  <c r="I12" i="13"/>
  <c r="A27" i="13" s="1"/>
  <c r="H15" i="14"/>
  <c r="F12" i="13"/>
  <c r="A21" i="13" s="1"/>
  <c r="E15" i="14"/>
  <c r="H31" i="13"/>
  <c r="C30" i="13"/>
  <c r="G30" i="13"/>
  <c r="C31" i="13"/>
  <c r="F31" i="13"/>
  <c r="J31" i="13"/>
  <c r="E30" i="13"/>
  <c r="D31" i="13"/>
  <c r="I31" i="13"/>
  <c r="H30" i="13"/>
  <c r="D30" i="13"/>
  <c r="L30" i="13"/>
  <c r="I30" i="13"/>
  <c r="K30" i="13"/>
  <c r="K31" i="13"/>
  <c r="E31" i="13"/>
  <c r="G31" i="13"/>
  <c r="F30" i="13"/>
  <c r="J30" i="13"/>
  <c r="L31" i="13"/>
  <c r="G22" i="14"/>
  <c r="G23" i="14" s="1"/>
  <c r="G19" i="14"/>
  <c r="G18" i="14"/>
  <c r="M17" i="13" l="1"/>
  <c r="D38" i="13" s="1"/>
  <c r="D26" i="14"/>
  <c r="E25" i="15" s="1"/>
  <c r="G27" i="14"/>
  <c r="D27" i="14"/>
  <c r="E20" i="15" s="1"/>
  <c r="C26" i="14"/>
  <c r="D25" i="15" s="1"/>
  <c r="M30" i="13"/>
  <c r="K37" i="13" s="1"/>
  <c r="M31" i="13"/>
  <c r="K38" i="13" s="1"/>
  <c r="E19" i="14"/>
  <c r="E18" i="14"/>
  <c r="E22" i="14"/>
  <c r="E23" i="14" s="1"/>
  <c r="G26" i="13"/>
  <c r="F26" i="13"/>
  <c r="H26" i="13"/>
  <c r="C26" i="13"/>
  <c r="E26" i="13"/>
  <c r="K26" i="13"/>
  <c r="H27" i="13"/>
  <c r="F27" i="13"/>
  <c r="G27" i="13"/>
  <c r="J26" i="13"/>
  <c r="I27" i="13"/>
  <c r="E27" i="13"/>
  <c r="D27" i="13"/>
  <c r="C27" i="13"/>
  <c r="K27" i="13"/>
  <c r="I26" i="13"/>
  <c r="D26" i="13"/>
  <c r="J27" i="13"/>
  <c r="L27" i="13"/>
  <c r="L26" i="13"/>
  <c r="H28" i="13"/>
  <c r="L29" i="13"/>
  <c r="E28" i="13"/>
  <c r="J29" i="13"/>
  <c r="G29" i="13"/>
  <c r="H29" i="13"/>
  <c r="E29" i="13"/>
  <c r="K28" i="13"/>
  <c r="C28" i="13"/>
  <c r="F28" i="13"/>
  <c r="I28" i="13"/>
  <c r="I29" i="13"/>
  <c r="D28" i="13"/>
  <c r="F29" i="13"/>
  <c r="D29" i="13"/>
  <c r="J28" i="13"/>
  <c r="C29" i="13"/>
  <c r="K29" i="13"/>
  <c r="G28" i="13"/>
  <c r="L28" i="13"/>
  <c r="M22" i="13"/>
  <c r="G37" i="13" s="1"/>
  <c r="M25" i="13"/>
  <c r="H38" i="13" s="1"/>
  <c r="H21" i="15" s="1"/>
  <c r="J26" i="14"/>
  <c r="G26" i="14"/>
  <c r="K21" i="13"/>
  <c r="L21" i="13"/>
  <c r="H20" i="13"/>
  <c r="I20" i="13"/>
  <c r="G20" i="13"/>
  <c r="E20" i="13"/>
  <c r="D21" i="13"/>
  <c r="F20" i="13"/>
  <c r="I21" i="13"/>
  <c r="C20" i="13"/>
  <c r="K20" i="13"/>
  <c r="C21" i="13"/>
  <c r="D20" i="13"/>
  <c r="J20" i="13"/>
  <c r="H21" i="13"/>
  <c r="E21" i="13"/>
  <c r="J21" i="13"/>
  <c r="L20" i="13"/>
  <c r="F21" i="13"/>
  <c r="G21" i="13"/>
  <c r="C33" i="13"/>
  <c r="K32" i="13"/>
  <c r="I33" i="13"/>
  <c r="H32" i="13"/>
  <c r="C32" i="13"/>
  <c r="G33" i="13"/>
  <c r="F32" i="13"/>
  <c r="D32" i="13"/>
  <c r="E33" i="13"/>
  <c r="I32" i="13"/>
  <c r="L32" i="13"/>
  <c r="K33" i="13"/>
  <c r="J33" i="13"/>
  <c r="J32" i="13"/>
  <c r="D33" i="13"/>
  <c r="H33" i="13"/>
  <c r="F33" i="13"/>
  <c r="G32" i="13"/>
  <c r="E32" i="13"/>
  <c r="L33" i="13"/>
  <c r="C27" i="14"/>
  <c r="C31" i="14" s="1"/>
  <c r="M18" i="13"/>
  <c r="E37" i="13" s="1"/>
  <c r="E18" i="15" s="1"/>
  <c r="M19" i="13"/>
  <c r="E38" i="13" s="1"/>
  <c r="F27" i="14"/>
  <c r="J27" i="14"/>
  <c r="H14" i="13"/>
  <c r="G14" i="13"/>
  <c r="C14" i="13"/>
  <c r="G15" i="13"/>
  <c r="D14" i="13"/>
  <c r="I14" i="13"/>
  <c r="D15" i="13"/>
  <c r="C15" i="13"/>
  <c r="F15" i="13"/>
  <c r="E15" i="13"/>
  <c r="J15" i="13"/>
  <c r="J14" i="13"/>
  <c r="I15" i="13"/>
  <c r="F14" i="13"/>
  <c r="K14" i="13"/>
  <c r="E14" i="13"/>
  <c r="L14" i="13"/>
  <c r="H15" i="13"/>
  <c r="L15" i="13"/>
  <c r="K15" i="13"/>
  <c r="H39" i="15"/>
  <c r="K22" i="14"/>
  <c r="K23" i="14" s="1"/>
  <c r="K19" i="14"/>
  <c r="K18" i="14"/>
  <c r="M23" i="13"/>
  <c r="G38" i="13" s="1"/>
  <c r="M16" i="13"/>
  <c r="D37" i="13" s="1"/>
  <c r="D18" i="15" s="1"/>
  <c r="M24" i="13"/>
  <c r="H37" i="13" s="1"/>
  <c r="B22" i="14"/>
  <c r="B23" i="14" s="1"/>
  <c r="B19" i="14"/>
  <c r="B18" i="14"/>
  <c r="H19" i="14"/>
  <c r="H22" i="14"/>
  <c r="H23" i="14" s="1"/>
  <c r="H18" i="14"/>
  <c r="I22" i="14"/>
  <c r="I23" i="14" s="1"/>
  <c r="I19" i="14"/>
  <c r="I18" i="14"/>
  <c r="F26" i="14"/>
  <c r="G56" i="12"/>
  <c r="B3" i="12" s="1"/>
  <c r="B3" i="20" s="1"/>
  <c r="H20" i="15" l="1"/>
  <c r="E39" i="15"/>
  <c r="E41" i="15" s="1"/>
  <c r="E21" i="15"/>
  <c r="D19" i="15"/>
  <c r="D31" i="14"/>
  <c r="B26" i="14"/>
  <c r="C25" i="15" s="1"/>
  <c r="H26" i="14"/>
  <c r="I25" i="15" s="1"/>
  <c r="B27" i="14"/>
  <c r="C39" i="15" s="1"/>
  <c r="I26" i="14"/>
  <c r="K26" i="14"/>
  <c r="M14" i="13"/>
  <c r="C37" i="13" s="1"/>
  <c r="G39" i="15"/>
  <c r="G49" i="15" s="1"/>
  <c r="G21" i="15"/>
  <c r="G20" i="15"/>
  <c r="M21" i="13"/>
  <c r="F38" i="13" s="1"/>
  <c r="H25" i="15"/>
  <c r="H27" i="15" s="1"/>
  <c r="G31" i="14"/>
  <c r="H18" i="15"/>
  <c r="H19" i="15"/>
  <c r="K18" i="15"/>
  <c r="K25" i="15"/>
  <c r="K28" i="15" s="1"/>
  <c r="K19" i="15"/>
  <c r="J31" i="14"/>
  <c r="M27" i="13"/>
  <c r="I38" i="13" s="1"/>
  <c r="E27" i="14"/>
  <c r="G25" i="15"/>
  <c r="G19" i="15"/>
  <c r="G18" i="15"/>
  <c r="F31" i="14"/>
  <c r="I27" i="14"/>
  <c r="H27" i="14"/>
  <c r="H28" i="15"/>
  <c r="H39" i="13"/>
  <c r="H49" i="15"/>
  <c r="H50" i="15"/>
  <c r="H42" i="15"/>
  <c r="H41" i="15"/>
  <c r="H46" i="15"/>
  <c r="K27" i="14"/>
  <c r="H45" i="15"/>
  <c r="D36" i="15"/>
  <c r="D39" i="13"/>
  <c r="D32" i="15"/>
  <c r="D31" i="15"/>
  <c r="D28" i="15"/>
  <c r="D27" i="15"/>
  <c r="D35" i="15"/>
  <c r="E35" i="15"/>
  <c r="E50" i="15"/>
  <c r="E28" i="15"/>
  <c r="E39" i="13"/>
  <c r="E42" i="15"/>
  <c r="E32" i="15"/>
  <c r="E46" i="15"/>
  <c r="E36" i="15"/>
  <c r="E27" i="15"/>
  <c r="M20" i="13"/>
  <c r="F37" i="13" s="1"/>
  <c r="M26" i="13"/>
  <c r="I37" i="13" s="1"/>
  <c r="E31" i="15"/>
  <c r="M15" i="13"/>
  <c r="C38" i="13" s="1"/>
  <c r="K21" i="15"/>
  <c r="K39" i="15"/>
  <c r="K41" i="15" s="1"/>
  <c r="K20" i="15"/>
  <c r="D21" i="15"/>
  <c r="D20" i="15"/>
  <c r="D39" i="15"/>
  <c r="D46" i="15" s="1"/>
  <c r="M32" i="13"/>
  <c r="L37" i="13" s="1"/>
  <c r="M33" i="13"/>
  <c r="L38" i="13" s="1"/>
  <c r="G27" i="15"/>
  <c r="G36" i="15"/>
  <c r="G28" i="15"/>
  <c r="G32" i="15"/>
  <c r="G35" i="15"/>
  <c r="G31" i="15"/>
  <c r="G39" i="13"/>
  <c r="M29" i="13"/>
  <c r="J38" i="13" s="1"/>
  <c r="M28" i="13"/>
  <c r="J37" i="13" s="1"/>
  <c r="E26" i="14"/>
  <c r="E19" i="15"/>
  <c r="K36" i="15"/>
  <c r="K39" i="13"/>
  <c r="E45" i="15" l="1"/>
  <c r="E49" i="15"/>
  <c r="E54" i="15" s="1"/>
  <c r="E58" i="15" s="1"/>
  <c r="C19" i="15"/>
  <c r="C18" i="15"/>
  <c r="H35" i="15"/>
  <c r="G50" i="15"/>
  <c r="G41" i="15"/>
  <c r="G42" i="15"/>
  <c r="H36" i="15"/>
  <c r="K46" i="15"/>
  <c r="H32" i="15"/>
  <c r="K45" i="15"/>
  <c r="K49" i="15"/>
  <c r="K42" i="15"/>
  <c r="G45" i="15"/>
  <c r="G54" i="15" s="1"/>
  <c r="G58" i="15" s="1"/>
  <c r="H31" i="15"/>
  <c r="K50" i="15"/>
  <c r="G46" i="15"/>
  <c r="C20" i="15"/>
  <c r="E55" i="15"/>
  <c r="E59" i="15" s="1"/>
  <c r="B31" i="14"/>
  <c r="D42" i="15"/>
  <c r="H31" i="14"/>
  <c r="I19" i="15"/>
  <c r="K31" i="15"/>
  <c r="K27" i="15"/>
  <c r="D50" i="15"/>
  <c r="D41" i="15"/>
  <c r="K35" i="15"/>
  <c r="K32" i="15"/>
  <c r="D45" i="15"/>
  <c r="D49" i="15"/>
  <c r="C27" i="15"/>
  <c r="J39" i="15"/>
  <c r="J49" i="15" s="1"/>
  <c r="J20" i="15"/>
  <c r="J21" i="15"/>
  <c r="L18" i="15"/>
  <c r="L19" i="15"/>
  <c r="K31" i="14"/>
  <c r="L25" i="15"/>
  <c r="L35" i="15" s="1"/>
  <c r="C21" i="15"/>
  <c r="F25" i="15"/>
  <c r="F31" i="15" s="1"/>
  <c r="F18" i="15"/>
  <c r="F19" i="15"/>
  <c r="E31" i="14"/>
  <c r="J39" i="13"/>
  <c r="L39" i="13"/>
  <c r="F39" i="13"/>
  <c r="F28" i="15"/>
  <c r="F36" i="15"/>
  <c r="F39" i="15"/>
  <c r="F49" i="15" s="1"/>
  <c r="F20" i="15"/>
  <c r="F21" i="15"/>
  <c r="J25" i="15"/>
  <c r="J31" i="15" s="1"/>
  <c r="J18" i="15"/>
  <c r="J19" i="15"/>
  <c r="I31" i="14"/>
  <c r="I18" i="15"/>
  <c r="I31" i="15"/>
  <c r="I39" i="13"/>
  <c r="I27" i="15"/>
  <c r="I36" i="15"/>
  <c r="I28" i="15"/>
  <c r="I32" i="15"/>
  <c r="I42" i="15"/>
  <c r="I35" i="15"/>
  <c r="L26" i="14"/>
  <c r="L21" i="15"/>
  <c r="L20" i="15"/>
  <c r="L39" i="15"/>
  <c r="L45" i="15" s="1"/>
  <c r="L27" i="14"/>
  <c r="I39" i="15"/>
  <c r="I41" i="15" s="1"/>
  <c r="I21" i="15"/>
  <c r="I20" i="15"/>
  <c r="C39" i="13"/>
  <c r="C28" i="15"/>
  <c r="C46" i="15"/>
  <c r="C41" i="15"/>
  <c r="C35" i="15"/>
  <c r="C32" i="15"/>
  <c r="C31" i="15"/>
  <c r="C36" i="15"/>
  <c r="C42" i="15"/>
  <c r="C50" i="15"/>
  <c r="C45" i="15"/>
  <c r="C49" i="15"/>
  <c r="L32" i="15" l="1"/>
  <c r="J36" i="15"/>
  <c r="L36" i="15"/>
  <c r="F50" i="15"/>
  <c r="H54" i="15"/>
  <c r="H58" i="15" s="1"/>
  <c r="H55" i="15"/>
  <c r="H59" i="15" s="1"/>
  <c r="G55" i="15"/>
  <c r="G59" i="15" s="1"/>
  <c r="J46" i="15"/>
  <c r="F32" i="15"/>
  <c r="L31" i="15"/>
  <c r="F41" i="15"/>
  <c r="F46" i="15"/>
  <c r="F27" i="15"/>
  <c r="L28" i="15"/>
  <c r="K55" i="15"/>
  <c r="K59" i="15" s="1"/>
  <c r="J45" i="15"/>
  <c r="J41" i="15"/>
  <c r="L27" i="15"/>
  <c r="J50" i="15"/>
  <c r="J42" i="15"/>
  <c r="K54" i="15"/>
  <c r="K58" i="15" s="1"/>
  <c r="D54" i="15"/>
  <c r="D58" i="15" s="1"/>
  <c r="F35" i="15"/>
  <c r="D55" i="15"/>
  <c r="D59" i="15" s="1"/>
  <c r="I46" i="15"/>
  <c r="L46" i="15"/>
  <c r="L50" i="15"/>
  <c r="I50" i="15"/>
  <c r="I45" i="15"/>
  <c r="J28" i="15"/>
  <c r="L41" i="15"/>
  <c r="L42" i="15"/>
  <c r="J32" i="15"/>
  <c r="L49" i="15"/>
  <c r="F45" i="15"/>
  <c r="J35" i="15"/>
  <c r="C55" i="15"/>
  <c r="C59" i="15" s="1"/>
  <c r="I49" i="15"/>
  <c r="C54" i="15"/>
  <c r="C58" i="15" s="1"/>
  <c r="F42" i="15"/>
  <c r="L28" i="14"/>
  <c r="J27" i="15"/>
  <c r="F55" i="15" l="1"/>
  <c r="F59" i="15" s="1"/>
  <c r="F54" i="15"/>
  <c r="F58" i="15" s="1"/>
  <c r="L55" i="15"/>
  <c r="L59" i="15" s="1"/>
  <c r="I55" i="15"/>
  <c r="I59" i="15" s="1"/>
  <c r="J54" i="15"/>
  <c r="J58" i="15" s="1"/>
  <c r="L54" i="15"/>
  <c r="L58" i="15" s="1"/>
  <c r="J55" i="15"/>
  <c r="J59" i="15" s="1"/>
  <c r="I54" i="15"/>
  <c r="I58" i="15" s="1"/>
  <c r="M59" i="15" l="1"/>
  <c r="M58" i="15"/>
  <c r="S48" i="12" l="1"/>
  <c r="S49" i="12" l="1"/>
  <c r="S52" i="12" s="1"/>
  <c r="O96" i="12" s="1"/>
  <c r="O94" i="12"/>
  <c r="K90" i="12"/>
  <c r="H95" i="12" s="1"/>
  <c r="I90" i="12" s="1"/>
  <c r="G90" i="12" s="1"/>
  <c r="N104" i="12" s="1"/>
  <c r="K91" i="12" l="1"/>
  <c r="I95" i="12" s="1"/>
  <c r="G108" i="12" s="1"/>
  <c r="H108" i="12" s="1"/>
  <c r="I108" i="12" s="1"/>
  <c r="J108" i="12" s="1"/>
  <c r="K108" i="12" s="1"/>
  <c r="L108" i="12" s="1"/>
  <c r="M108" i="12" s="1"/>
  <c r="N108" i="12" s="1"/>
  <c r="O108" i="12" s="1"/>
  <c r="P108" i="12" s="1"/>
  <c r="P94" i="12"/>
  <c r="T35" i="12"/>
  <c r="T48" i="12"/>
  <c r="G104" i="12"/>
  <c r="O104" i="12"/>
  <c r="H104" i="12"/>
  <c r="H111" i="12" s="1"/>
  <c r="D43" i="13" s="1"/>
  <c r="A48" i="13" s="1"/>
  <c r="L104" i="12"/>
  <c r="I104" i="12"/>
  <c r="I111" i="12" s="1"/>
  <c r="E43" i="13" s="1"/>
  <c r="A50" i="13" s="1"/>
  <c r="M104" i="12"/>
  <c r="K104" i="12"/>
  <c r="K111" i="12" s="1"/>
  <c r="G43" i="13" s="1"/>
  <c r="A54" i="13" s="1"/>
  <c r="J104" i="12"/>
  <c r="J111" i="12" s="1"/>
  <c r="F43" i="13" s="1"/>
  <c r="A52" i="13" s="1"/>
  <c r="P104" i="12"/>
  <c r="P111" i="12" s="1"/>
  <c r="L111" i="12" l="1"/>
  <c r="H43" i="13" s="1"/>
  <c r="A56" i="13" s="1"/>
  <c r="M111" i="12"/>
  <c r="I43" i="13" s="1"/>
  <c r="A58" i="13" s="1"/>
  <c r="O111" i="12"/>
  <c r="K43" i="13" s="1"/>
  <c r="A62" i="13" s="1"/>
  <c r="E54" i="13"/>
  <c r="D54" i="13"/>
  <c r="E53" i="13"/>
  <c r="H53" i="13"/>
  <c r="H54" i="13"/>
  <c r="G53" i="13"/>
  <c r="F53" i="13"/>
  <c r="L53" i="13"/>
  <c r="F54" i="13"/>
  <c r="I53" i="13"/>
  <c r="D53" i="13"/>
  <c r="J54" i="13"/>
  <c r="I54" i="13"/>
  <c r="C54" i="13"/>
  <c r="C53" i="13"/>
  <c r="L54" i="13"/>
  <c r="K53" i="13"/>
  <c r="K54" i="13"/>
  <c r="G54" i="13"/>
  <c r="J53" i="13"/>
  <c r="C47" i="13"/>
  <c r="F47" i="13"/>
  <c r="D47" i="13"/>
  <c r="J47" i="13"/>
  <c r="E47" i="13"/>
  <c r="E48" i="13"/>
  <c r="C48" i="13"/>
  <c r="I47" i="13"/>
  <c r="I48" i="13"/>
  <c r="L48" i="13"/>
  <c r="K48" i="13"/>
  <c r="G48" i="13"/>
  <c r="G47" i="13"/>
  <c r="D48" i="13"/>
  <c r="H47" i="13"/>
  <c r="J48" i="13"/>
  <c r="L47" i="13"/>
  <c r="F48" i="13"/>
  <c r="H48" i="13"/>
  <c r="K47" i="13"/>
  <c r="T34" i="12"/>
  <c r="T49" i="12"/>
  <c r="E57" i="13"/>
  <c r="L57" i="13"/>
  <c r="C58" i="13"/>
  <c r="I57" i="13"/>
  <c r="J57" i="13"/>
  <c r="I58" i="13"/>
  <c r="H58" i="13"/>
  <c r="D58" i="13"/>
  <c r="H57" i="13"/>
  <c r="K58" i="13"/>
  <c r="J58" i="13"/>
  <c r="F57" i="13"/>
  <c r="F58" i="13"/>
  <c r="G57" i="13"/>
  <c r="E58" i="13"/>
  <c r="K57" i="13"/>
  <c r="D57" i="13"/>
  <c r="L58" i="13"/>
  <c r="C57" i="13"/>
  <c r="G58" i="13"/>
  <c r="E61" i="13"/>
  <c r="H61" i="13"/>
  <c r="J61" i="13"/>
  <c r="I62" i="13"/>
  <c r="L62" i="13"/>
  <c r="F61" i="13"/>
  <c r="G62" i="13"/>
  <c r="K62" i="13"/>
  <c r="D61" i="13"/>
  <c r="H62" i="13"/>
  <c r="I61" i="13"/>
  <c r="D62" i="13"/>
  <c r="G61" i="13"/>
  <c r="L61" i="13"/>
  <c r="C61" i="13"/>
  <c r="K61" i="13"/>
  <c r="C62" i="13"/>
  <c r="J62" i="13"/>
  <c r="F62" i="13"/>
  <c r="E62" i="13"/>
  <c r="U35" i="12"/>
  <c r="U48" i="12"/>
  <c r="L43" i="13"/>
  <c r="A64" i="13" s="1"/>
  <c r="C50" i="13"/>
  <c r="G50" i="13"/>
  <c r="F50" i="13"/>
  <c r="H49" i="13"/>
  <c r="J50" i="13"/>
  <c r="H50" i="13"/>
  <c r="L49" i="13"/>
  <c r="C49" i="13"/>
  <c r="L50" i="13"/>
  <c r="J49" i="13"/>
  <c r="I50" i="13"/>
  <c r="G49" i="13"/>
  <c r="K49" i="13"/>
  <c r="K50" i="13"/>
  <c r="E50" i="13"/>
  <c r="D50" i="13"/>
  <c r="E49" i="13"/>
  <c r="F49" i="13"/>
  <c r="D49" i="13"/>
  <c r="I49" i="13"/>
  <c r="G111" i="12"/>
  <c r="G88" i="12" s="1"/>
  <c r="C4" i="12" s="1"/>
  <c r="C4" i="20" s="1"/>
  <c r="E104" i="12"/>
  <c r="L51" i="13"/>
  <c r="G51" i="13"/>
  <c r="G52" i="13"/>
  <c r="K52" i="13"/>
  <c r="C52" i="13"/>
  <c r="C51" i="13"/>
  <c r="F51" i="13"/>
  <c r="J52" i="13"/>
  <c r="I51" i="13"/>
  <c r="E52" i="13"/>
  <c r="H52" i="13"/>
  <c r="E51" i="13"/>
  <c r="D52" i="13"/>
  <c r="K51" i="13"/>
  <c r="F52" i="13"/>
  <c r="H51" i="13"/>
  <c r="D51" i="13"/>
  <c r="J51" i="13"/>
  <c r="L52" i="13"/>
  <c r="I52" i="13"/>
  <c r="G56" i="13"/>
  <c r="G55" i="13"/>
  <c r="F55" i="13"/>
  <c r="E55" i="13"/>
  <c r="C56" i="13"/>
  <c r="L55" i="13"/>
  <c r="H55" i="13"/>
  <c r="K56" i="13"/>
  <c r="E56" i="13"/>
  <c r="I56" i="13"/>
  <c r="H56" i="13"/>
  <c r="J55" i="13"/>
  <c r="F56" i="13"/>
  <c r="J56" i="13"/>
  <c r="C55" i="13"/>
  <c r="L56" i="13"/>
  <c r="D55" i="13"/>
  <c r="D56" i="13"/>
  <c r="K55" i="13"/>
  <c r="I55" i="13"/>
  <c r="K123" i="12"/>
  <c r="H128" i="12" s="1"/>
  <c r="O127" i="12"/>
  <c r="N111" i="12"/>
  <c r="J43" i="13" s="1"/>
  <c r="A60" i="13" s="1"/>
  <c r="M61" i="13" l="1"/>
  <c r="K68" i="13" s="1"/>
  <c r="M57" i="13"/>
  <c r="I68" i="13" s="1"/>
  <c r="M56" i="13"/>
  <c r="H69" i="13" s="1"/>
  <c r="M52" i="13"/>
  <c r="F69" i="13" s="1"/>
  <c r="V48" i="12"/>
  <c r="V35" i="12"/>
  <c r="M49" i="13"/>
  <c r="E68" i="13" s="1"/>
  <c r="C64" i="13"/>
  <c r="J64" i="13"/>
  <c r="H64" i="13"/>
  <c r="D63" i="13"/>
  <c r="C63" i="13"/>
  <c r="E64" i="13"/>
  <c r="I64" i="13"/>
  <c r="F63" i="13"/>
  <c r="D64" i="13"/>
  <c r="G64" i="13"/>
  <c r="K64" i="13"/>
  <c r="F64" i="13"/>
  <c r="G63" i="13"/>
  <c r="L63" i="13"/>
  <c r="J63" i="13"/>
  <c r="L64" i="13"/>
  <c r="E63" i="13"/>
  <c r="K63" i="13"/>
  <c r="I63" i="13"/>
  <c r="H63" i="13"/>
  <c r="U49" i="12"/>
  <c r="U34" i="12"/>
  <c r="U42" i="12" s="1"/>
  <c r="M62" i="13"/>
  <c r="K69" i="13" s="1"/>
  <c r="K70" i="13" s="1"/>
  <c r="T42" i="12"/>
  <c r="T43" i="12"/>
  <c r="T44" i="12"/>
  <c r="M48" i="13"/>
  <c r="D69" i="13" s="1"/>
  <c r="M53" i="13"/>
  <c r="G68" i="13" s="1"/>
  <c r="M54" i="13"/>
  <c r="G69" i="13" s="1"/>
  <c r="M55" i="13"/>
  <c r="H68" i="13" s="1"/>
  <c r="H70" i="13" s="1"/>
  <c r="M58" i="13"/>
  <c r="I69" i="13" s="1"/>
  <c r="I70" i="13" s="1"/>
  <c r="M47" i="13"/>
  <c r="D68" i="13" s="1"/>
  <c r="G60" i="13"/>
  <c r="L60" i="13"/>
  <c r="C60" i="13"/>
  <c r="E59" i="13"/>
  <c r="G59" i="13"/>
  <c r="H59" i="13"/>
  <c r="I59" i="13"/>
  <c r="K59" i="13"/>
  <c r="C59" i="13"/>
  <c r="F59" i="13"/>
  <c r="J59" i="13"/>
  <c r="K60" i="13"/>
  <c r="I60" i="13"/>
  <c r="D59" i="13"/>
  <c r="D60" i="13"/>
  <c r="E60" i="13"/>
  <c r="H60" i="13"/>
  <c r="F60" i="13"/>
  <c r="L59" i="13"/>
  <c r="J60" i="13"/>
  <c r="I123" i="12"/>
  <c r="G123" i="12" s="1"/>
  <c r="P137" i="12" s="1"/>
  <c r="G137" i="12"/>
  <c r="M51" i="13"/>
  <c r="F68" i="13" s="1"/>
  <c r="C43" i="13"/>
  <c r="A46" i="13" s="1"/>
  <c r="E111" i="12"/>
  <c r="G87" i="12" s="1"/>
  <c r="C3" i="12" s="1"/>
  <c r="C3" i="20" s="1"/>
  <c r="M50" i="13"/>
  <c r="E69" i="13" s="1"/>
  <c r="O160" i="12"/>
  <c r="K156" i="12"/>
  <c r="H161" i="12" s="1"/>
  <c r="T52" i="12"/>
  <c r="O129" i="12" s="1"/>
  <c r="P127" i="12"/>
  <c r="K124" i="12"/>
  <c r="I128" i="12" s="1"/>
  <c r="G141" i="12" s="1"/>
  <c r="H141" i="12" s="1"/>
  <c r="I141" i="12" s="1"/>
  <c r="J141" i="12" s="1"/>
  <c r="K141" i="12" s="1"/>
  <c r="L141" i="12" s="1"/>
  <c r="M141" i="12" s="1"/>
  <c r="N141" i="12" s="1"/>
  <c r="O141" i="12" s="1"/>
  <c r="P141" i="12" s="1"/>
  <c r="M137" i="12" l="1"/>
  <c r="M144" i="12" s="1"/>
  <c r="I75" i="13" s="1"/>
  <c r="A90" i="13" s="1"/>
  <c r="I137" i="12"/>
  <c r="I144" i="12" s="1"/>
  <c r="E75" i="13" s="1"/>
  <c r="A82" i="13" s="1"/>
  <c r="E82" i="13" s="1"/>
  <c r="W48" i="12"/>
  <c r="W35" i="12"/>
  <c r="K81" i="13"/>
  <c r="G81" i="13"/>
  <c r="H81" i="13"/>
  <c r="H82" i="13"/>
  <c r="D82" i="13"/>
  <c r="J82" i="13"/>
  <c r="I81" i="13"/>
  <c r="F81" i="13"/>
  <c r="G82" i="13"/>
  <c r="J81" i="13"/>
  <c r="G144" i="12"/>
  <c r="K188" i="12"/>
  <c r="H193" i="12" s="1"/>
  <c r="I188" i="12" s="1"/>
  <c r="G188" i="12" s="1"/>
  <c r="I202" i="12" s="1"/>
  <c r="O192" i="12"/>
  <c r="I156" i="12"/>
  <c r="G156" i="12" s="1"/>
  <c r="P170" i="12" s="1"/>
  <c r="G170" i="12"/>
  <c r="M63" i="13"/>
  <c r="L68" i="13" s="1"/>
  <c r="P144" i="12"/>
  <c r="O137" i="12"/>
  <c r="O144" i="12" s="1"/>
  <c r="K75" i="13" s="1"/>
  <c r="A94" i="13" s="1"/>
  <c r="H137" i="12"/>
  <c r="H144" i="12" s="1"/>
  <c r="D75" i="13" s="1"/>
  <c r="A80" i="13" s="1"/>
  <c r="D70" i="13"/>
  <c r="U44" i="12"/>
  <c r="U43" i="12"/>
  <c r="E70" i="13"/>
  <c r="H90" i="13"/>
  <c r="K89" i="13"/>
  <c r="J89" i="13"/>
  <c r="H89" i="13"/>
  <c r="G89" i="13"/>
  <c r="J90" i="13"/>
  <c r="I90" i="13"/>
  <c r="G90" i="13"/>
  <c r="E89" i="13"/>
  <c r="D90" i="13"/>
  <c r="I89" i="13"/>
  <c r="F90" i="13"/>
  <c r="D89" i="13"/>
  <c r="C90" i="13"/>
  <c r="F89" i="13"/>
  <c r="E90" i="13"/>
  <c r="K90" i="13"/>
  <c r="L89" i="13"/>
  <c r="C89" i="13"/>
  <c r="L90" i="13"/>
  <c r="K137" i="12"/>
  <c r="K144" i="12" s="1"/>
  <c r="G75" i="13" s="1"/>
  <c r="A86" i="13" s="1"/>
  <c r="L137" i="12"/>
  <c r="L144" i="12" s="1"/>
  <c r="H75" i="13" s="1"/>
  <c r="A88" i="13" s="1"/>
  <c r="M59" i="13"/>
  <c r="J68" i="13" s="1"/>
  <c r="M64" i="13"/>
  <c r="L69" i="13" s="1"/>
  <c r="J46" i="13"/>
  <c r="H46" i="13"/>
  <c r="E45" i="13"/>
  <c r="F45" i="13"/>
  <c r="L45" i="13"/>
  <c r="D45" i="13"/>
  <c r="D46" i="13"/>
  <c r="K45" i="13"/>
  <c r="E46" i="13"/>
  <c r="F46" i="13"/>
  <c r="H45" i="13"/>
  <c r="I45" i="13"/>
  <c r="C46" i="13"/>
  <c r="G46" i="13"/>
  <c r="K46" i="13"/>
  <c r="C45" i="13"/>
  <c r="L46" i="13"/>
  <c r="I46" i="13"/>
  <c r="J45" i="13"/>
  <c r="G45" i="13"/>
  <c r="F70" i="13"/>
  <c r="J137" i="12"/>
  <c r="J144" i="12" s="1"/>
  <c r="F75" i="13" s="1"/>
  <c r="A84" i="13" s="1"/>
  <c r="N137" i="12"/>
  <c r="N144" i="12" s="1"/>
  <c r="J75" i="13" s="1"/>
  <c r="A92" i="13" s="1"/>
  <c r="M60" i="13"/>
  <c r="J69" i="13" s="1"/>
  <c r="G70" i="13"/>
  <c r="U52" i="12"/>
  <c r="O162" i="12" s="1"/>
  <c r="K157" i="12"/>
  <c r="I161" i="12" s="1"/>
  <c r="G174" i="12" s="1"/>
  <c r="H174" i="12" s="1"/>
  <c r="I174" i="12" s="1"/>
  <c r="J174" i="12" s="1"/>
  <c r="K174" i="12" s="1"/>
  <c r="L174" i="12" s="1"/>
  <c r="M174" i="12" s="1"/>
  <c r="N174" i="12" s="1"/>
  <c r="O174" i="12" s="1"/>
  <c r="P174" i="12" s="1"/>
  <c r="P160" i="12"/>
  <c r="V49" i="12"/>
  <c r="V34" i="12"/>
  <c r="V42" i="12" s="1"/>
  <c r="P177" i="12" l="1"/>
  <c r="D81" i="13"/>
  <c r="K82" i="13"/>
  <c r="L82" i="13"/>
  <c r="L81" i="13"/>
  <c r="I82" i="13"/>
  <c r="H170" i="12"/>
  <c r="L170" i="12"/>
  <c r="N170" i="12"/>
  <c r="E81" i="13"/>
  <c r="C81" i="13"/>
  <c r="C82" i="13"/>
  <c r="F82" i="13"/>
  <c r="J170" i="12"/>
  <c r="M170" i="12"/>
  <c r="O170" i="12"/>
  <c r="O177" i="12" s="1"/>
  <c r="K107" i="13" s="1"/>
  <c r="A126" i="13" s="1"/>
  <c r="K170" i="12"/>
  <c r="I170" i="12"/>
  <c r="K83" i="13"/>
  <c r="L84" i="13"/>
  <c r="L83" i="13"/>
  <c r="G84" i="13"/>
  <c r="G83" i="13"/>
  <c r="H84" i="13"/>
  <c r="F83" i="13"/>
  <c r="D84" i="13"/>
  <c r="C84" i="13"/>
  <c r="C83" i="13"/>
  <c r="F84" i="13"/>
  <c r="J83" i="13"/>
  <c r="I83" i="13"/>
  <c r="J84" i="13"/>
  <c r="E84" i="13"/>
  <c r="E83" i="13"/>
  <c r="K84" i="13"/>
  <c r="H83" i="13"/>
  <c r="D83" i="13"/>
  <c r="I84" i="13"/>
  <c r="D93" i="13"/>
  <c r="H93" i="13"/>
  <c r="H94" i="13"/>
  <c r="J94" i="13"/>
  <c r="D94" i="13"/>
  <c r="C94" i="13"/>
  <c r="J93" i="13"/>
  <c r="C93" i="13"/>
  <c r="L94" i="13"/>
  <c r="F93" i="13"/>
  <c r="K93" i="13"/>
  <c r="F94" i="13"/>
  <c r="K94" i="13"/>
  <c r="G93" i="13"/>
  <c r="L93" i="13"/>
  <c r="E93" i="13"/>
  <c r="E94" i="13"/>
  <c r="G94" i="13"/>
  <c r="I94" i="13"/>
  <c r="I93" i="13"/>
  <c r="H177" i="12"/>
  <c r="D107" i="13" s="1"/>
  <c r="A112" i="13" s="1"/>
  <c r="L177" i="12"/>
  <c r="H107" i="13" s="1"/>
  <c r="A120" i="13" s="1"/>
  <c r="N177" i="12"/>
  <c r="J107" i="13" s="1"/>
  <c r="A124" i="13" s="1"/>
  <c r="G202" i="12"/>
  <c r="M202" i="12"/>
  <c r="L202" i="12"/>
  <c r="O202" i="12"/>
  <c r="K202" i="12"/>
  <c r="P202" i="12"/>
  <c r="N202" i="12"/>
  <c r="J202" i="12"/>
  <c r="H202" i="12"/>
  <c r="W49" i="12"/>
  <c r="W34" i="12"/>
  <c r="L107" i="13"/>
  <c r="A128" i="13" s="1"/>
  <c r="M46" i="13"/>
  <c r="C69" i="13" s="1"/>
  <c r="J70" i="13"/>
  <c r="M89" i="13"/>
  <c r="I100" i="13" s="1"/>
  <c r="L75" i="13"/>
  <c r="A96" i="13" s="1"/>
  <c r="G121" i="12"/>
  <c r="D4" i="12" s="1"/>
  <c r="D4" i="20" s="1"/>
  <c r="J177" i="12"/>
  <c r="F107" i="13" s="1"/>
  <c r="A116" i="13" s="1"/>
  <c r="M177" i="12"/>
  <c r="I107" i="13" s="1"/>
  <c r="A122" i="13" s="1"/>
  <c r="O223" i="12"/>
  <c r="K219" i="12"/>
  <c r="H224" i="12" s="1"/>
  <c r="W52" i="12"/>
  <c r="O225" i="12" s="1"/>
  <c r="V43" i="12"/>
  <c r="V44" i="12"/>
  <c r="M45" i="13"/>
  <c r="C68" i="13" s="1"/>
  <c r="K87" i="13"/>
  <c r="C88" i="13"/>
  <c r="H88" i="13"/>
  <c r="D87" i="13"/>
  <c r="C87" i="13"/>
  <c r="J87" i="13"/>
  <c r="L87" i="13"/>
  <c r="G88" i="13"/>
  <c r="F87" i="13"/>
  <c r="I88" i="13"/>
  <c r="E87" i="13"/>
  <c r="D88" i="13"/>
  <c r="K88" i="13"/>
  <c r="F88" i="13"/>
  <c r="E88" i="13"/>
  <c r="J88" i="13"/>
  <c r="L88" i="13"/>
  <c r="H87" i="13"/>
  <c r="I87" i="13"/>
  <c r="G87" i="13"/>
  <c r="X48" i="12"/>
  <c r="X35" i="12"/>
  <c r="M90" i="13"/>
  <c r="I101" i="13" s="1"/>
  <c r="L70" i="13"/>
  <c r="C75" i="13"/>
  <c r="A78" i="13" s="1"/>
  <c r="E144" i="12"/>
  <c r="V52" i="12"/>
  <c r="O194" i="12" s="1"/>
  <c r="K189" i="12"/>
  <c r="I193" i="12" s="1"/>
  <c r="G206" i="12" s="1"/>
  <c r="H206" i="12" s="1"/>
  <c r="I206" i="12" s="1"/>
  <c r="J206" i="12" s="1"/>
  <c r="K206" i="12" s="1"/>
  <c r="L206" i="12" s="1"/>
  <c r="M206" i="12" s="1"/>
  <c r="N206" i="12" s="1"/>
  <c r="O206" i="12" s="1"/>
  <c r="P206" i="12" s="1"/>
  <c r="P192" i="12"/>
  <c r="K92" i="13"/>
  <c r="H91" i="13"/>
  <c r="L92" i="13"/>
  <c r="F91" i="13"/>
  <c r="C91" i="13"/>
  <c r="E91" i="13"/>
  <c r="F92" i="13"/>
  <c r="D91" i="13"/>
  <c r="J91" i="13"/>
  <c r="G91" i="13"/>
  <c r="G92" i="13"/>
  <c r="E92" i="13"/>
  <c r="K91" i="13"/>
  <c r="J92" i="13"/>
  <c r="I92" i="13"/>
  <c r="I91" i="13"/>
  <c r="L91" i="13"/>
  <c r="D92" i="13"/>
  <c r="H92" i="13"/>
  <c r="C92" i="13"/>
  <c r="L86" i="13"/>
  <c r="H86" i="13"/>
  <c r="H85" i="13"/>
  <c r="I86" i="13"/>
  <c r="G85" i="13"/>
  <c r="E85" i="13"/>
  <c r="G86" i="13"/>
  <c r="D86" i="13"/>
  <c r="K86" i="13"/>
  <c r="I85" i="13"/>
  <c r="E86" i="13"/>
  <c r="F85" i="13"/>
  <c r="D85" i="13"/>
  <c r="F86" i="13"/>
  <c r="L85" i="13"/>
  <c r="C85" i="13"/>
  <c r="J85" i="13"/>
  <c r="K85" i="13"/>
  <c r="C86" i="13"/>
  <c r="J86" i="13"/>
  <c r="H80" i="13"/>
  <c r="D79" i="13"/>
  <c r="J80" i="13"/>
  <c r="K79" i="13"/>
  <c r="G79" i="13"/>
  <c r="H79" i="13"/>
  <c r="C80" i="13"/>
  <c r="C79" i="13"/>
  <c r="G80" i="13"/>
  <c r="K80" i="13"/>
  <c r="I79" i="13"/>
  <c r="D80" i="13"/>
  <c r="J79" i="13"/>
  <c r="F80" i="13"/>
  <c r="L79" i="13"/>
  <c r="F79" i="13"/>
  <c r="I80" i="13"/>
  <c r="L80" i="13"/>
  <c r="E79" i="13"/>
  <c r="E80" i="13"/>
  <c r="G177" i="12"/>
  <c r="G154" i="12" s="1"/>
  <c r="I177" i="12"/>
  <c r="E107" i="13" s="1"/>
  <c r="A114" i="13" s="1"/>
  <c r="E137" i="12"/>
  <c r="M81" i="13"/>
  <c r="E100" i="13" s="1"/>
  <c r="M82" i="13"/>
  <c r="E101" i="13" s="1"/>
  <c r="E170" i="12" l="1"/>
  <c r="K177" i="12"/>
  <c r="G107" i="13" s="1"/>
  <c r="A118" i="13" s="1"/>
  <c r="C70" i="13"/>
  <c r="E102" i="13"/>
  <c r="M86" i="13"/>
  <c r="G101" i="13" s="1"/>
  <c r="E4" i="12"/>
  <c r="E4" i="20" s="1"/>
  <c r="F4" i="12"/>
  <c r="F4" i="20" s="1"/>
  <c r="J113" i="13"/>
  <c r="G113" i="13"/>
  <c r="F114" i="13"/>
  <c r="F113" i="13"/>
  <c r="I113" i="13"/>
  <c r="I114" i="13"/>
  <c r="H114" i="13"/>
  <c r="C114" i="13"/>
  <c r="E113" i="13"/>
  <c r="K113" i="13"/>
  <c r="E114" i="13"/>
  <c r="D114" i="13"/>
  <c r="L114" i="13"/>
  <c r="L113" i="13"/>
  <c r="J114" i="13"/>
  <c r="K114" i="13"/>
  <c r="C113" i="13"/>
  <c r="G114" i="13"/>
  <c r="D113" i="13"/>
  <c r="H113" i="13"/>
  <c r="M80" i="13"/>
  <c r="D101" i="13" s="1"/>
  <c r="M91" i="13"/>
  <c r="J100" i="13" s="1"/>
  <c r="I209" i="12"/>
  <c r="K248" i="12"/>
  <c r="H253" i="12" s="1"/>
  <c r="O252" i="12"/>
  <c r="M87" i="13"/>
  <c r="H100" i="13" s="1"/>
  <c r="E122" i="13"/>
  <c r="H122" i="13"/>
  <c r="K122" i="13"/>
  <c r="L121" i="13"/>
  <c r="E121" i="13"/>
  <c r="I122" i="13"/>
  <c r="G121" i="13"/>
  <c r="D121" i="13"/>
  <c r="K121" i="13"/>
  <c r="C121" i="13"/>
  <c r="J122" i="13"/>
  <c r="C122" i="13"/>
  <c r="J121" i="13"/>
  <c r="L122" i="13"/>
  <c r="F121" i="13"/>
  <c r="I121" i="13"/>
  <c r="H121" i="13"/>
  <c r="D122" i="13"/>
  <c r="F122" i="13"/>
  <c r="G122" i="13"/>
  <c r="K220" i="12"/>
  <c r="I224" i="12" s="1"/>
  <c r="G236" i="12" s="1"/>
  <c r="H236" i="12" s="1"/>
  <c r="I236" i="12" s="1"/>
  <c r="J236" i="12" s="1"/>
  <c r="K236" i="12" s="1"/>
  <c r="L236" i="12" s="1"/>
  <c r="M236" i="12" s="1"/>
  <c r="N236" i="12" s="1"/>
  <c r="O236" i="12" s="1"/>
  <c r="P236" i="12" s="1"/>
  <c r="P223" i="12"/>
  <c r="P209" i="12"/>
  <c r="M209" i="12"/>
  <c r="J111" i="13"/>
  <c r="E111" i="13"/>
  <c r="G112" i="13"/>
  <c r="I112" i="13"/>
  <c r="C111" i="13"/>
  <c r="L112" i="13"/>
  <c r="H112" i="13"/>
  <c r="F112" i="13"/>
  <c r="D112" i="13"/>
  <c r="L111" i="13"/>
  <c r="E112" i="13"/>
  <c r="G111" i="13"/>
  <c r="J112" i="13"/>
  <c r="F111" i="13"/>
  <c r="I111" i="13"/>
  <c r="C112" i="13"/>
  <c r="K111" i="13"/>
  <c r="D111" i="13"/>
  <c r="K112" i="13"/>
  <c r="H111" i="13"/>
  <c r="M83" i="13"/>
  <c r="F100" i="13" s="1"/>
  <c r="M85" i="13"/>
  <c r="G100" i="13" s="1"/>
  <c r="M92" i="13"/>
  <c r="J101" i="13" s="1"/>
  <c r="E117" i="13"/>
  <c r="F118" i="13"/>
  <c r="L118" i="13"/>
  <c r="L117" i="13"/>
  <c r="K117" i="13"/>
  <c r="K118" i="13"/>
  <c r="G117" i="13"/>
  <c r="J118" i="13"/>
  <c r="F117" i="13"/>
  <c r="G118" i="13"/>
  <c r="C118" i="13"/>
  <c r="D118" i="13"/>
  <c r="J117" i="13"/>
  <c r="H117" i="13"/>
  <c r="H118" i="13"/>
  <c r="I117" i="13"/>
  <c r="I118" i="13"/>
  <c r="E118" i="13"/>
  <c r="C117" i="13"/>
  <c r="D117" i="13"/>
  <c r="C116" i="13"/>
  <c r="G115" i="13"/>
  <c r="G116" i="13"/>
  <c r="C115" i="13"/>
  <c r="E116" i="13"/>
  <c r="K115" i="13"/>
  <c r="D116" i="13"/>
  <c r="I115" i="13"/>
  <c r="H115" i="13"/>
  <c r="L115" i="13"/>
  <c r="I116" i="13"/>
  <c r="K116" i="13"/>
  <c r="E115" i="13"/>
  <c r="J116" i="13"/>
  <c r="J115" i="13"/>
  <c r="D115" i="13"/>
  <c r="H116" i="13"/>
  <c r="L116" i="13"/>
  <c r="F115" i="13"/>
  <c r="F116" i="13"/>
  <c r="H209" i="12"/>
  <c r="K209" i="12"/>
  <c r="G209" i="12"/>
  <c r="E202" i="12"/>
  <c r="M93" i="13"/>
  <c r="K100" i="13" s="1"/>
  <c r="Y35" i="12"/>
  <c r="Y48" i="12"/>
  <c r="M84" i="13"/>
  <c r="F101" i="13" s="1"/>
  <c r="E177" i="12"/>
  <c r="G153" i="12" s="1"/>
  <c r="C107" i="13"/>
  <c r="A110" i="13" s="1"/>
  <c r="G120" i="12"/>
  <c r="D3" i="12" s="1"/>
  <c r="D3" i="20" s="1"/>
  <c r="K126" i="13"/>
  <c r="D126" i="13"/>
  <c r="J125" i="13"/>
  <c r="G125" i="13"/>
  <c r="J126" i="13"/>
  <c r="K125" i="13"/>
  <c r="L126" i="13"/>
  <c r="L125" i="13"/>
  <c r="C125" i="13"/>
  <c r="D125" i="13"/>
  <c r="I126" i="13"/>
  <c r="C126" i="13"/>
  <c r="F126" i="13"/>
  <c r="H125" i="13"/>
  <c r="E126" i="13"/>
  <c r="E125" i="13"/>
  <c r="G126" i="13"/>
  <c r="F125" i="13"/>
  <c r="I125" i="13"/>
  <c r="H126" i="13"/>
  <c r="I102" i="13"/>
  <c r="J127" i="13"/>
  <c r="H128" i="13"/>
  <c r="I127" i="13"/>
  <c r="F127" i="13"/>
  <c r="F128" i="13"/>
  <c r="L128" i="13"/>
  <c r="E128" i="13"/>
  <c r="G127" i="13"/>
  <c r="G128" i="13"/>
  <c r="E127" i="13"/>
  <c r="K128" i="13"/>
  <c r="J128" i="13"/>
  <c r="I128" i="13"/>
  <c r="D128" i="13"/>
  <c r="C127" i="13"/>
  <c r="L127" i="13"/>
  <c r="H127" i="13"/>
  <c r="C128" i="13"/>
  <c r="K127" i="13"/>
  <c r="D127" i="13"/>
  <c r="J209" i="12"/>
  <c r="O209" i="12"/>
  <c r="E124" i="13"/>
  <c r="C124" i="13"/>
  <c r="J123" i="13"/>
  <c r="L124" i="13"/>
  <c r="G124" i="13"/>
  <c r="D124" i="13"/>
  <c r="H124" i="13"/>
  <c r="K124" i="13"/>
  <c r="G123" i="13"/>
  <c r="F123" i="13"/>
  <c r="C123" i="13"/>
  <c r="E123" i="13"/>
  <c r="J124" i="13"/>
  <c r="I124" i="13"/>
  <c r="I123" i="13"/>
  <c r="H123" i="13"/>
  <c r="F124" i="13"/>
  <c r="K123" i="13"/>
  <c r="D123" i="13"/>
  <c r="L123" i="13"/>
  <c r="M79" i="13"/>
  <c r="D100" i="13" s="1"/>
  <c r="J77" i="13"/>
  <c r="D77" i="13"/>
  <c r="C78" i="13"/>
  <c r="D78" i="13"/>
  <c r="I78" i="13"/>
  <c r="F77" i="13"/>
  <c r="G78" i="13"/>
  <c r="G77" i="13"/>
  <c r="K78" i="13"/>
  <c r="J78" i="13"/>
  <c r="H77" i="13"/>
  <c r="H78" i="13"/>
  <c r="K77" i="13"/>
  <c r="C77" i="13"/>
  <c r="E78" i="13"/>
  <c r="E77" i="13"/>
  <c r="F78" i="13"/>
  <c r="L78" i="13"/>
  <c r="L77" i="13"/>
  <c r="I77" i="13"/>
  <c r="X34" i="12"/>
  <c r="X42" i="12" s="1"/>
  <c r="X49" i="12"/>
  <c r="M88" i="13"/>
  <c r="H101" i="13" s="1"/>
  <c r="I219" i="12"/>
  <c r="G219" i="12" s="1"/>
  <c r="J232" i="12" s="1"/>
  <c r="J239" i="12" s="1"/>
  <c r="G232" i="12"/>
  <c r="J95" i="13"/>
  <c r="C95" i="13"/>
  <c r="L96" i="13"/>
  <c r="I95" i="13"/>
  <c r="H95" i="13"/>
  <c r="F95" i="13"/>
  <c r="H96" i="13"/>
  <c r="L95" i="13"/>
  <c r="E96" i="13"/>
  <c r="G95" i="13"/>
  <c r="E95" i="13"/>
  <c r="C96" i="13"/>
  <c r="D95" i="13"/>
  <c r="J96" i="13"/>
  <c r="K96" i="13"/>
  <c r="I96" i="13"/>
  <c r="F96" i="13"/>
  <c r="D96" i="13"/>
  <c r="G96" i="13"/>
  <c r="K95" i="13"/>
  <c r="W42" i="12"/>
  <c r="W44" i="12"/>
  <c r="W43" i="12"/>
  <c r="N209" i="12"/>
  <c r="L209" i="12"/>
  <c r="E120" i="13"/>
  <c r="F119" i="13"/>
  <c r="I120" i="13"/>
  <c r="C119" i="13"/>
  <c r="J120" i="13"/>
  <c r="H119" i="13"/>
  <c r="D119" i="13"/>
  <c r="K119" i="13"/>
  <c r="D120" i="13"/>
  <c r="H120" i="13"/>
  <c r="F120" i="13"/>
  <c r="I119" i="13"/>
  <c r="J119" i="13"/>
  <c r="G120" i="13"/>
  <c r="K120" i="13"/>
  <c r="L120" i="13"/>
  <c r="L119" i="13"/>
  <c r="G119" i="13"/>
  <c r="C120" i="13"/>
  <c r="E119" i="13"/>
  <c r="M94" i="13"/>
  <c r="K101" i="13" s="1"/>
  <c r="H232" i="12" l="1"/>
  <c r="H239" i="12" s="1"/>
  <c r="L232" i="12"/>
  <c r="L239" i="12" s="1"/>
  <c r="G102" i="13"/>
  <c r="M117" i="13"/>
  <c r="G132" i="13" s="1"/>
  <c r="M232" i="12"/>
  <c r="M239" i="12" s="1"/>
  <c r="G239" i="12"/>
  <c r="M123" i="13"/>
  <c r="J132" i="13" s="1"/>
  <c r="F139" i="13"/>
  <c r="A148" i="13" s="1"/>
  <c r="F172" i="13"/>
  <c r="A181" i="13" s="1"/>
  <c r="M126" i="13"/>
  <c r="K133" i="13" s="1"/>
  <c r="O280" i="12"/>
  <c r="K276" i="12"/>
  <c r="H281" i="12" s="1"/>
  <c r="C139" i="13"/>
  <c r="A142" i="13" s="1"/>
  <c r="C172" i="13"/>
  <c r="A175" i="13" s="1"/>
  <c r="E209" i="12"/>
  <c r="M116" i="13"/>
  <c r="F133" i="13" s="1"/>
  <c r="M118" i="13"/>
  <c r="G133" i="13" s="1"/>
  <c r="F102" i="13"/>
  <c r="M111" i="13"/>
  <c r="D132" i="13" s="1"/>
  <c r="I248" i="12"/>
  <c r="G248" i="12" s="1"/>
  <c r="O261" i="12" s="1"/>
  <c r="G261" i="12"/>
  <c r="J102" i="13"/>
  <c r="Z48" i="12"/>
  <c r="Z35" i="12"/>
  <c r="M95" i="13"/>
  <c r="L100" i="13" s="1"/>
  <c r="I232" i="12"/>
  <c r="I239" i="12" s="1"/>
  <c r="P232" i="12"/>
  <c r="P239" i="12" s="1"/>
  <c r="M78" i="13"/>
  <c r="C101" i="13" s="1"/>
  <c r="M124" i="13"/>
  <c r="J133" i="13" s="1"/>
  <c r="G110" i="13"/>
  <c r="D109" i="13"/>
  <c r="F109" i="13"/>
  <c r="L110" i="13"/>
  <c r="G109" i="13"/>
  <c r="J109" i="13"/>
  <c r="J110" i="13"/>
  <c r="K109" i="13"/>
  <c r="I110" i="13"/>
  <c r="I109" i="13"/>
  <c r="H110" i="13"/>
  <c r="E109" i="13"/>
  <c r="L109" i="13"/>
  <c r="F110" i="13"/>
  <c r="H109" i="13"/>
  <c r="D110" i="13"/>
  <c r="K110" i="13"/>
  <c r="C110" i="13"/>
  <c r="E110" i="13"/>
  <c r="C109" i="13"/>
  <c r="Y34" i="12"/>
  <c r="Y49" i="12"/>
  <c r="Y52" i="12" s="1"/>
  <c r="O282" i="12" s="1"/>
  <c r="G139" i="13"/>
  <c r="A150" i="13" s="1"/>
  <c r="G172" i="13"/>
  <c r="A183" i="13" s="1"/>
  <c r="M115" i="13"/>
  <c r="F132" i="13" s="1"/>
  <c r="M112" i="13"/>
  <c r="D133" i="13" s="1"/>
  <c r="D134" i="13" s="1"/>
  <c r="I139" i="13"/>
  <c r="A154" i="13" s="1"/>
  <c r="I172" i="13"/>
  <c r="A187" i="13" s="1"/>
  <c r="M122" i="13"/>
  <c r="I133" i="13" s="1"/>
  <c r="H102" i="13"/>
  <c r="E172" i="13"/>
  <c r="A179" i="13" s="1"/>
  <c r="E139" i="13"/>
  <c r="A146" i="13" s="1"/>
  <c r="D102" i="13"/>
  <c r="M113" i="13"/>
  <c r="E132" i="13" s="1"/>
  <c r="M119" i="13"/>
  <c r="H132" i="13" s="1"/>
  <c r="H139" i="13"/>
  <c r="A152" i="13" s="1"/>
  <c r="H172" i="13"/>
  <c r="A185" i="13" s="1"/>
  <c r="K232" i="12"/>
  <c r="K239" i="12" s="1"/>
  <c r="N232" i="12"/>
  <c r="N239" i="12" s="1"/>
  <c r="O232" i="12"/>
  <c r="O239" i="12" s="1"/>
  <c r="K249" i="12"/>
  <c r="I253" i="12" s="1"/>
  <c r="G265" i="12" s="1"/>
  <c r="H265" i="12" s="1"/>
  <c r="I265" i="12" s="1"/>
  <c r="J265" i="12" s="1"/>
  <c r="K265" i="12" s="1"/>
  <c r="L265" i="12" s="1"/>
  <c r="M265" i="12" s="1"/>
  <c r="N265" i="12" s="1"/>
  <c r="O265" i="12" s="1"/>
  <c r="P265" i="12" s="1"/>
  <c r="P252" i="12"/>
  <c r="M77" i="13"/>
  <c r="C100" i="13" s="1"/>
  <c r="M127" i="13"/>
  <c r="L132" i="13" s="1"/>
  <c r="F3" i="12"/>
  <c r="F3" i="20" s="1"/>
  <c r="E3" i="12"/>
  <c r="E3" i="20" s="1"/>
  <c r="K102" i="13"/>
  <c r="D139" i="13"/>
  <c r="A144" i="13" s="1"/>
  <c r="D172" i="13"/>
  <c r="A177" i="13" s="1"/>
  <c r="L139" i="13"/>
  <c r="A160" i="13" s="1"/>
  <c r="G186" i="12"/>
  <c r="L172" i="13"/>
  <c r="A193" i="13" s="1"/>
  <c r="X52" i="12"/>
  <c r="O254" i="12" s="1"/>
  <c r="M114" i="13"/>
  <c r="E133" i="13" s="1"/>
  <c r="M120" i="13"/>
  <c r="H133" i="13" s="1"/>
  <c r="J139" i="13"/>
  <c r="A156" i="13" s="1"/>
  <c r="J172" i="13"/>
  <c r="A189" i="13" s="1"/>
  <c r="M96" i="13"/>
  <c r="L101" i="13" s="1"/>
  <c r="X43" i="12"/>
  <c r="X44" i="12"/>
  <c r="K172" i="13"/>
  <c r="A191" i="13" s="1"/>
  <c r="K139" i="13"/>
  <c r="A158" i="13" s="1"/>
  <c r="M128" i="13"/>
  <c r="L133" i="13" s="1"/>
  <c r="M125" i="13"/>
  <c r="K132" i="13" s="1"/>
  <c r="G185" i="12"/>
  <c r="M121" i="13"/>
  <c r="I132" i="13" s="1"/>
  <c r="I134" i="13" s="1"/>
  <c r="F134" i="13" l="1"/>
  <c r="G134" i="13"/>
  <c r="C102" i="13"/>
  <c r="G217" i="12"/>
  <c r="G4" i="12" s="1"/>
  <c r="G4" i="20" s="1"/>
  <c r="K134" i="13"/>
  <c r="J261" i="12"/>
  <c r="M261" i="12"/>
  <c r="M109" i="13"/>
  <c r="C132" i="13" s="1"/>
  <c r="K261" i="12"/>
  <c r="H261" i="12"/>
  <c r="C191" i="13"/>
  <c r="L191" i="13"/>
  <c r="F190" i="13"/>
  <c r="D190" i="13"/>
  <c r="F191" i="13"/>
  <c r="H190" i="13"/>
  <c r="L190" i="13"/>
  <c r="E191" i="13"/>
  <c r="I190" i="13"/>
  <c r="J190" i="13"/>
  <c r="D191" i="13"/>
  <c r="E190" i="13"/>
  <c r="I191" i="13"/>
  <c r="H191" i="13"/>
  <c r="K191" i="13"/>
  <c r="G191" i="13"/>
  <c r="K190" i="13"/>
  <c r="J191" i="13"/>
  <c r="C190" i="13"/>
  <c r="G190" i="13"/>
  <c r="I189" i="13"/>
  <c r="F188" i="13"/>
  <c r="J189" i="13"/>
  <c r="H188" i="13"/>
  <c r="H189" i="13"/>
  <c r="D189" i="13"/>
  <c r="I188" i="13"/>
  <c r="E188" i="13"/>
  <c r="F189" i="13"/>
  <c r="G189" i="13"/>
  <c r="C188" i="13"/>
  <c r="J188" i="13"/>
  <c r="C189" i="13"/>
  <c r="K189" i="13"/>
  <c r="G188" i="13"/>
  <c r="L189" i="13"/>
  <c r="E189" i="13"/>
  <c r="L188" i="13"/>
  <c r="K188" i="13"/>
  <c r="D188" i="13"/>
  <c r="H160" i="13"/>
  <c r="G159" i="13"/>
  <c r="E160" i="13"/>
  <c r="E159" i="13"/>
  <c r="C160" i="13"/>
  <c r="D159" i="13"/>
  <c r="I159" i="13"/>
  <c r="L160" i="13"/>
  <c r="G160" i="13"/>
  <c r="K160" i="13"/>
  <c r="C159" i="13"/>
  <c r="D160" i="13"/>
  <c r="L159" i="13"/>
  <c r="J159" i="13"/>
  <c r="H159" i="13"/>
  <c r="I160" i="13"/>
  <c r="K159" i="13"/>
  <c r="F160" i="13"/>
  <c r="J160" i="13"/>
  <c r="F159" i="13"/>
  <c r="J184" i="13"/>
  <c r="E185" i="13"/>
  <c r="K185" i="13"/>
  <c r="G185" i="13"/>
  <c r="D184" i="13"/>
  <c r="C184" i="13"/>
  <c r="I184" i="13"/>
  <c r="J185" i="13"/>
  <c r="C185" i="13"/>
  <c r="H185" i="13"/>
  <c r="D185" i="13"/>
  <c r="K184" i="13"/>
  <c r="G184" i="13"/>
  <c r="I185" i="13"/>
  <c r="L184" i="13"/>
  <c r="F184" i="13"/>
  <c r="F185" i="13"/>
  <c r="E184" i="13"/>
  <c r="H184" i="13"/>
  <c r="L185" i="13"/>
  <c r="G146" i="13"/>
  <c r="H146" i="13"/>
  <c r="K145" i="13"/>
  <c r="I146" i="13"/>
  <c r="I145" i="13"/>
  <c r="G145" i="13"/>
  <c r="J145" i="13"/>
  <c r="L146" i="13"/>
  <c r="D145" i="13"/>
  <c r="E146" i="13"/>
  <c r="K146" i="13"/>
  <c r="J146" i="13"/>
  <c r="C145" i="13"/>
  <c r="F146" i="13"/>
  <c r="L145" i="13"/>
  <c r="F145" i="13"/>
  <c r="E145" i="13"/>
  <c r="D146" i="13"/>
  <c r="C146" i="13"/>
  <c r="H145" i="13"/>
  <c r="H186" i="13"/>
  <c r="L186" i="13"/>
  <c r="K187" i="13"/>
  <c r="I187" i="13"/>
  <c r="C187" i="13"/>
  <c r="K186" i="13"/>
  <c r="F186" i="13"/>
  <c r="D187" i="13"/>
  <c r="I186" i="13"/>
  <c r="D186" i="13"/>
  <c r="J186" i="13"/>
  <c r="F187" i="13"/>
  <c r="L187" i="13"/>
  <c r="G187" i="13"/>
  <c r="E186" i="13"/>
  <c r="E187" i="13"/>
  <c r="H187" i="13"/>
  <c r="C186" i="13"/>
  <c r="G186" i="13"/>
  <c r="J187" i="13"/>
  <c r="H183" i="13"/>
  <c r="H182" i="13"/>
  <c r="I182" i="13"/>
  <c r="E182" i="13"/>
  <c r="E183" i="13"/>
  <c r="K183" i="13"/>
  <c r="F183" i="13"/>
  <c r="L182" i="13"/>
  <c r="D182" i="13"/>
  <c r="C183" i="13"/>
  <c r="G182" i="13"/>
  <c r="J182" i="13"/>
  <c r="D183" i="13"/>
  <c r="I183" i="13"/>
  <c r="F182" i="13"/>
  <c r="C182" i="13"/>
  <c r="K182" i="13"/>
  <c r="G183" i="13"/>
  <c r="J183" i="13"/>
  <c r="L183" i="13"/>
  <c r="L102" i="13"/>
  <c r="K268" i="12"/>
  <c r="G204" i="13" s="1"/>
  <c r="A215" i="13" s="1"/>
  <c r="G268" i="12"/>
  <c r="H268" i="12"/>
  <c r="D204" i="13" s="1"/>
  <c r="A209" i="13" s="1"/>
  <c r="C148" i="13"/>
  <c r="H147" i="13"/>
  <c r="D148" i="13"/>
  <c r="H148" i="13"/>
  <c r="K147" i="13"/>
  <c r="D147" i="13"/>
  <c r="F147" i="13"/>
  <c r="J148" i="13"/>
  <c r="G147" i="13"/>
  <c r="I148" i="13"/>
  <c r="K148" i="13"/>
  <c r="J147" i="13"/>
  <c r="F148" i="13"/>
  <c r="L147" i="13"/>
  <c r="E147" i="13"/>
  <c r="E148" i="13"/>
  <c r="C147" i="13"/>
  <c r="G148" i="13"/>
  <c r="L148" i="13"/>
  <c r="I147" i="13"/>
  <c r="C156" i="13"/>
  <c r="F156" i="13"/>
  <c r="J156" i="13"/>
  <c r="K155" i="13"/>
  <c r="L155" i="13"/>
  <c r="H156" i="13"/>
  <c r="J155" i="13"/>
  <c r="I155" i="13"/>
  <c r="G156" i="13"/>
  <c r="E155" i="13"/>
  <c r="I156" i="13"/>
  <c r="G155" i="13"/>
  <c r="D156" i="13"/>
  <c r="H155" i="13"/>
  <c r="K156" i="13"/>
  <c r="C155" i="13"/>
  <c r="D155" i="13"/>
  <c r="E156" i="13"/>
  <c r="F155" i="13"/>
  <c r="L156" i="13"/>
  <c r="G177" i="13"/>
  <c r="C177" i="13"/>
  <c r="F176" i="13"/>
  <c r="L176" i="13"/>
  <c r="G176" i="13"/>
  <c r="H177" i="13"/>
  <c r="K177" i="13"/>
  <c r="I177" i="13"/>
  <c r="J176" i="13"/>
  <c r="K176" i="13"/>
  <c r="F177" i="13"/>
  <c r="E176" i="13"/>
  <c r="E177" i="13"/>
  <c r="C176" i="13"/>
  <c r="L177" i="13"/>
  <c r="D177" i="13"/>
  <c r="J177" i="13"/>
  <c r="D176" i="13"/>
  <c r="I176" i="13"/>
  <c r="H176" i="13"/>
  <c r="F152" i="13"/>
  <c r="F151" i="13"/>
  <c r="K152" i="13"/>
  <c r="D152" i="13"/>
  <c r="E151" i="13"/>
  <c r="G151" i="13"/>
  <c r="D151" i="13"/>
  <c r="I151" i="13"/>
  <c r="H151" i="13"/>
  <c r="C152" i="13"/>
  <c r="K151" i="13"/>
  <c r="E152" i="13"/>
  <c r="L152" i="13"/>
  <c r="H152" i="13"/>
  <c r="C151" i="13"/>
  <c r="L151" i="13"/>
  <c r="J151" i="13"/>
  <c r="G152" i="13"/>
  <c r="J152" i="13"/>
  <c r="I152" i="13"/>
  <c r="E178" i="13"/>
  <c r="C178" i="13"/>
  <c r="G179" i="13"/>
  <c r="J179" i="13"/>
  <c r="I178" i="13"/>
  <c r="D179" i="13"/>
  <c r="C179" i="13"/>
  <c r="J178" i="13"/>
  <c r="H179" i="13"/>
  <c r="I179" i="13"/>
  <c r="K179" i="13"/>
  <c r="G178" i="13"/>
  <c r="K178" i="13"/>
  <c r="H178" i="13"/>
  <c r="D178" i="13"/>
  <c r="F178" i="13"/>
  <c r="L179" i="13"/>
  <c r="E179" i="13"/>
  <c r="F179" i="13"/>
  <c r="L178" i="13"/>
  <c r="H154" i="13"/>
  <c r="E154" i="13"/>
  <c r="K154" i="13"/>
  <c r="I153" i="13"/>
  <c r="D153" i="13"/>
  <c r="H153" i="13"/>
  <c r="I154" i="13"/>
  <c r="J153" i="13"/>
  <c r="G153" i="13"/>
  <c r="K153" i="13"/>
  <c r="D154" i="13"/>
  <c r="G154" i="13"/>
  <c r="L154" i="13"/>
  <c r="J154" i="13"/>
  <c r="F154" i="13"/>
  <c r="F153" i="13"/>
  <c r="L153" i="13"/>
  <c r="C153" i="13"/>
  <c r="E153" i="13"/>
  <c r="C154" i="13"/>
  <c r="L149" i="13"/>
  <c r="L150" i="13"/>
  <c r="I149" i="13"/>
  <c r="K150" i="13"/>
  <c r="C149" i="13"/>
  <c r="F149" i="13"/>
  <c r="H149" i="13"/>
  <c r="J150" i="13"/>
  <c r="I150" i="13"/>
  <c r="D150" i="13"/>
  <c r="E150" i="13"/>
  <c r="J149" i="13"/>
  <c r="G149" i="13"/>
  <c r="C150" i="13"/>
  <c r="H150" i="13"/>
  <c r="E149" i="13"/>
  <c r="G150" i="13"/>
  <c r="D149" i="13"/>
  <c r="F150" i="13"/>
  <c r="K149" i="13"/>
  <c r="Z34" i="12"/>
  <c r="Z49" i="12"/>
  <c r="Z52" i="12" s="1"/>
  <c r="O311" i="12" s="1"/>
  <c r="J268" i="12"/>
  <c r="F204" i="13" s="1"/>
  <c r="A213" i="13" s="1"/>
  <c r="M268" i="12"/>
  <c r="I204" i="13" s="1"/>
  <c r="A219" i="13" s="1"/>
  <c r="O268" i="12"/>
  <c r="K204" i="13" s="1"/>
  <c r="A223" i="13" s="1"/>
  <c r="D175" i="13"/>
  <c r="J174" i="13"/>
  <c r="H174" i="13"/>
  <c r="E175" i="13"/>
  <c r="I175" i="13"/>
  <c r="L175" i="13"/>
  <c r="E174" i="13"/>
  <c r="K175" i="13"/>
  <c r="L174" i="13"/>
  <c r="G174" i="13"/>
  <c r="G175" i="13"/>
  <c r="C175" i="13"/>
  <c r="K174" i="13"/>
  <c r="J175" i="13"/>
  <c r="F175" i="13"/>
  <c r="I174" i="13"/>
  <c r="F174" i="13"/>
  <c r="D174" i="13"/>
  <c r="C174" i="13"/>
  <c r="H175" i="13"/>
  <c r="J134" i="13"/>
  <c r="K192" i="13"/>
  <c r="J193" i="13"/>
  <c r="I193" i="13"/>
  <c r="K193" i="13"/>
  <c r="L192" i="13"/>
  <c r="H193" i="13"/>
  <c r="C192" i="13"/>
  <c r="H192" i="13"/>
  <c r="L193" i="13"/>
  <c r="E193" i="13"/>
  <c r="J192" i="13"/>
  <c r="I192" i="13"/>
  <c r="G192" i="13"/>
  <c r="G193" i="13"/>
  <c r="E192" i="13"/>
  <c r="D193" i="13"/>
  <c r="D192" i="13"/>
  <c r="F193" i="13"/>
  <c r="F192" i="13"/>
  <c r="C193" i="13"/>
  <c r="D144" i="13"/>
  <c r="C143" i="13"/>
  <c r="J144" i="13"/>
  <c r="K143" i="13"/>
  <c r="J143" i="13"/>
  <c r="F144" i="13"/>
  <c r="D143" i="13"/>
  <c r="G143" i="13"/>
  <c r="I144" i="13"/>
  <c r="E143" i="13"/>
  <c r="F143" i="13"/>
  <c r="K144" i="13"/>
  <c r="H144" i="13"/>
  <c r="I143" i="13"/>
  <c r="C144" i="13"/>
  <c r="L144" i="13"/>
  <c r="L143" i="13"/>
  <c r="G144" i="13"/>
  <c r="H143" i="13"/>
  <c r="E144" i="13"/>
  <c r="L134" i="13"/>
  <c r="H134" i="13"/>
  <c r="E134" i="13"/>
  <c r="K277" i="12"/>
  <c r="I281" i="12" s="1"/>
  <c r="G293" i="12" s="1"/>
  <c r="H293" i="12" s="1"/>
  <c r="I293" i="12" s="1"/>
  <c r="J293" i="12" s="1"/>
  <c r="K293" i="12" s="1"/>
  <c r="L293" i="12" s="1"/>
  <c r="M293" i="12" s="1"/>
  <c r="N293" i="12" s="1"/>
  <c r="O293" i="12" s="1"/>
  <c r="P293" i="12" s="1"/>
  <c r="P280" i="12"/>
  <c r="M110" i="13"/>
  <c r="C133" i="13" s="1"/>
  <c r="O309" i="12"/>
  <c r="K305" i="12"/>
  <c r="H310" i="12" s="1"/>
  <c r="I305" i="12" s="1"/>
  <c r="G305" i="12" s="1"/>
  <c r="K318" i="12" s="1"/>
  <c r="N261" i="12"/>
  <c r="N268" i="12" s="1"/>
  <c r="J204" i="13" s="1"/>
  <c r="A221" i="13" s="1"/>
  <c r="L261" i="12"/>
  <c r="L268" i="12" s="1"/>
  <c r="H204" i="13" s="1"/>
  <c r="A217" i="13" s="1"/>
  <c r="J141" i="13"/>
  <c r="C142" i="13"/>
  <c r="E142" i="13"/>
  <c r="H142" i="13"/>
  <c r="F142" i="13"/>
  <c r="G142" i="13"/>
  <c r="G141" i="13"/>
  <c r="L141" i="13"/>
  <c r="D141" i="13"/>
  <c r="F141" i="13"/>
  <c r="D142" i="13"/>
  <c r="J142" i="13"/>
  <c r="K141" i="13"/>
  <c r="E141" i="13"/>
  <c r="L142" i="13"/>
  <c r="H141" i="13"/>
  <c r="C141" i="13"/>
  <c r="I142" i="13"/>
  <c r="I141" i="13"/>
  <c r="K142" i="13"/>
  <c r="E239" i="12"/>
  <c r="D158" i="13"/>
  <c r="K157" i="13"/>
  <c r="J157" i="13"/>
  <c r="E157" i="13"/>
  <c r="E158" i="13"/>
  <c r="D157" i="13"/>
  <c r="H158" i="13"/>
  <c r="J158" i="13"/>
  <c r="F158" i="13"/>
  <c r="F157" i="13"/>
  <c r="L157" i="13"/>
  <c r="G157" i="13"/>
  <c r="L158" i="13"/>
  <c r="C157" i="13"/>
  <c r="I157" i="13"/>
  <c r="K158" i="13"/>
  <c r="G158" i="13"/>
  <c r="I158" i="13"/>
  <c r="H157" i="13"/>
  <c r="C158" i="13"/>
  <c r="AA35" i="12"/>
  <c r="AA48" i="12"/>
  <c r="Y42" i="12"/>
  <c r="Y43" i="12"/>
  <c r="Y44" i="12"/>
  <c r="P261" i="12"/>
  <c r="P268" i="12" s="1"/>
  <c r="I261" i="12"/>
  <c r="I268" i="12" s="1"/>
  <c r="E204" i="13" s="1"/>
  <c r="A211" i="13" s="1"/>
  <c r="I276" i="12"/>
  <c r="G276" i="12" s="1"/>
  <c r="I289" i="12" s="1"/>
  <c r="I296" i="12" s="1"/>
  <c r="E237" i="13" s="1"/>
  <c r="A244" i="13" s="1"/>
  <c r="G289" i="12"/>
  <c r="I180" i="13"/>
  <c r="G180" i="13"/>
  <c r="F181" i="13"/>
  <c r="H181" i="13"/>
  <c r="D180" i="13"/>
  <c r="H180" i="13"/>
  <c r="E181" i="13"/>
  <c r="E180" i="13"/>
  <c r="J181" i="13"/>
  <c r="J180" i="13"/>
  <c r="G181" i="13"/>
  <c r="I181" i="13"/>
  <c r="C181" i="13"/>
  <c r="C180" i="13"/>
  <c r="K181" i="13"/>
  <c r="D181" i="13"/>
  <c r="K180" i="13"/>
  <c r="L181" i="13"/>
  <c r="L180" i="13"/>
  <c r="F180" i="13"/>
  <c r="E232" i="12"/>
  <c r="G216" i="12" l="1"/>
  <c r="G3" i="12" s="1"/>
  <c r="G3" i="20" s="1"/>
  <c r="C134" i="13"/>
  <c r="P289" i="12"/>
  <c r="P296" i="12" s="1"/>
  <c r="L289" i="12"/>
  <c r="L296" i="12" s="1"/>
  <c r="H237" i="13" s="1"/>
  <c r="A250" i="13" s="1"/>
  <c r="I250" i="13" s="1"/>
  <c r="O289" i="12"/>
  <c r="O296" i="12" s="1"/>
  <c r="K237" i="13" s="1"/>
  <c r="A256" i="13" s="1"/>
  <c r="M154" i="13"/>
  <c r="I165" i="13" s="1"/>
  <c r="J289" i="12"/>
  <c r="J296" i="12" s="1"/>
  <c r="F237" i="13" s="1"/>
  <c r="A246" i="13" s="1"/>
  <c r="N289" i="12"/>
  <c r="N296" i="12" s="1"/>
  <c r="J237" i="13" s="1"/>
  <c r="A254" i="13" s="1"/>
  <c r="L254" i="13" s="1"/>
  <c r="K289" i="12"/>
  <c r="K296" i="12" s="1"/>
  <c r="G237" i="13" s="1"/>
  <c r="A248" i="13" s="1"/>
  <c r="M157" i="13"/>
  <c r="K164" i="13" s="1"/>
  <c r="H289" i="12"/>
  <c r="H296" i="12" s="1"/>
  <c r="D237" i="13" s="1"/>
  <c r="A242" i="13" s="1"/>
  <c r="H241" i="13" s="1"/>
  <c r="M289" i="12"/>
  <c r="M296" i="12" s="1"/>
  <c r="I237" i="13" s="1"/>
  <c r="A252" i="13" s="1"/>
  <c r="C252" i="13" s="1"/>
  <c r="M174" i="13"/>
  <c r="C197" i="13" s="1"/>
  <c r="L242" i="13"/>
  <c r="K242" i="13"/>
  <c r="J242" i="13"/>
  <c r="D241" i="13"/>
  <c r="K241" i="13"/>
  <c r="I241" i="13"/>
  <c r="G241" i="13"/>
  <c r="C241" i="13"/>
  <c r="F241" i="13"/>
  <c r="H242" i="13"/>
  <c r="L241" i="13"/>
  <c r="J241" i="13"/>
  <c r="E241" i="13"/>
  <c r="K251" i="13"/>
  <c r="D251" i="13"/>
  <c r="E251" i="13"/>
  <c r="F252" i="13"/>
  <c r="E289" i="12"/>
  <c r="G296" i="12"/>
  <c r="AA49" i="12"/>
  <c r="AA34" i="12"/>
  <c r="M142" i="13"/>
  <c r="C165" i="13" s="1"/>
  <c r="M143" i="13"/>
  <c r="D164" i="13" s="1"/>
  <c r="E219" i="13"/>
  <c r="E218" i="13"/>
  <c r="K218" i="13"/>
  <c r="H219" i="13"/>
  <c r="F218" i="13"/>
  <c r="I218" i="13"/>
  <c r="D218" i="13"/>
  <c r="J219" i="13"/>
  <c r="C218" i="13"/>
  <c r="J218" i="13"/>
  <c r="G219" i="13"/>
  <c r="L219" i="13"/>
  <c r="L218" i="13"/>
  <c r="F219" i="13"/>
  <c r="K219" i="13"/>
  <c r="I219" i="13"/>
  <c r="C219" i="13"/>
  <c r="G218" i="13"/>
  <c r="D219" i="13"/>
  <c r="H218" i="13"/>
  <c r="AB48" i="12"/>
  <c r="AB35" i="12"/>
  <c r="M151" i="13"/>
  <c r="H164" i="13" s="1"/>
  <c r="M156" i="13"/>
  <c r="J165" i="13" s="1"/>
  <c r="H209" i="13"/>
  <c r="F208" i="13"/>
  <c r="E209" i="13"/>
  <c r="K209" i="13"/>
  <c r="K208" i="13"/>
  <c r="H208" i="13"/>
  <c r="J209" i="13"/>
  <c r="F209" i="13"/>
  <c r="D209" i="13"/>
  <c r="E208" i="13"/>
  <c r="C209" i="13"/>
  <c r="D208" i="13"/>
  <c r="C208" i="13"/>
  <c r="J208" i="13"/>
  <c r="L208" i="13"/>
  <c r="G208" i="13"/>
  <c r="I208" i="13"/>
  <c r="G209" i="13"/>
  <c r="I209" i="13"/>
  <c r="L209" i="13"/>
  <c r="M183" i="13"/>
  <c r="G198" i="13" s="1"/>
  <c r="M186" i="13"/>
  <c r="I197" i="13" s="1"/>
  <c r="M184" i="13"/>
  <c r="H197" i="13" s="1"/>
  <c r="G246" i="13"/>
  <c r="E245" i="13"/>
  <c r="J246" i="13"/>
  <c r="K245" i="13"/>
  <c r="F246" i="13"/>
  <c r="H246" i="13"/>
  <c r="D246" i="13"/>
  <c r="C245" i="13"/>
  <c r="J245" i="13"/>
  <c r="F245" i="13"/>
  <c r="L246" i="13"/>
  <c r="K246" i="13"/>
  <c r="I245" i="13"/>
  <c r="G245" i="13"/>
  <c r="C246" i="13"/>
  <c r="L245" i="13"/>
  <c r="I246" i="13"/>
  <c r="D245" i="13"/>
  <c r="E246" i="13"/>
  <c r="H245" i="13"/>
  <c r="K250" i="13"/>
  <c r="D250" i="13"/>
  <c r="K249" i="13"/>
  <c r="H249" i="13"/>
  <c r="G249" i="13"/>
  <c r="J243" i="13"/>
  <c r="J244" i="13"/>
  <c r="K244" i="13"/>
  <c r="D244" i="13"/>
  <c r="F243" i="13"/>
  <c r="L243" i="13"/>
  <c r="G244" i="13"/>
  <c r="C243" i="13"/>
  <c r="E243" i="13"/>
  <c r="I244" i="13"/>
  <c r="H244" i="13"/>
  <c r="L244" i="13"/>
  <c r="D243" i="13"/>
  <c r="G243" i="13"/>
  <c r="F244" i="13"/>
  <c r="E244" i="13"/>
  <c r="C244" i="13"/>
  <c r="K243" i="13"/>
  <c r="H243" i="13"/>
  <c r="I243" i="13"/>
  <c r="M158" i="13"/>
  <c r="K165" i="13" s="1"/>
  <c r="K166" i="13" s="1"/>
  <c r="M141" i="13"/>
  <c r="C164" i="13" s="1"/>
  <c r="L318" i="12"/>
  <c r="M318" i="12"/>
  <c r="G318" i="12"/>
  <c r="I318" i="12"/>
  <c r="P318" i="12"/>
  <c r="O318" i="12"/>
  <c r="N318" i="12"/>
  <c r="H318" i="12"/>
  <c r="J318" i="12"/>
  <c r="C212" i="13"/>
  <c r="G213" i="13"/>
  <c r="F213" i="13"/>
  <c r="I213" i="13"/>
  <c r="J213" i="13"/>
  <c r="K212" i="13"/>
  <c r="C213" i="13"/>
  <c r="G212" i="13"/>
  <c r="L213" i="13"/>
  <c r="F212" i="13"/>
  <c r="J212" i="13"/>
  <c r="E213" i="13"/>
  <c r="I212" i="13"/>
  <c r="H213" i="13"/>
  <c r="D213" i="13"/>
  <c r="E212" i="13"/>
  <c r="L212" i="13"/>
  <c r="H212" i="13"/>
  <c r="D212" i="13"/>
  <c r="K213" i="13"/>
  <c r="M179" i="13"/>
  <c r="E198" i="13" s="1"/>
  <c r="M152" i="13"/>
  <c r="H165" i="13" s="1"/>
  <c r="M155" i="13"/>
  <c r="J164" i="13" s="1"/>
  <c r="C204" i="13"/>
  <c r="A207" i="13" s="1"/>
  <c r="E268" i="12"/>
  <c r="M187" i="13"/>
  <c r="I198" i="13" s="1"/>
  <c r="M145" i="13"/>
  <c r="E164" i="13" s="1"/>
  <c r="M185" i="13"/>
  <c r="H198" i="13" s="1"/>
  <c r="M159" i="13"/>
  <c r="L164" i="13" s="1"/>
  <c r="M188" i="13"/>
  <c r="J197" i="13" s="1"/>
  <c r="M190" i="13"/>
  <c r="K197" i="13" s="1"/>
  <c r="M180" i="13"/>
  <c r="F197" i="13" s="1"/>
  <c r="L237" i="13"/>
  <c r="A258" i="13" s="1"/>
  <c r="G274" i="12"/>
  <c r="I4" i="12" s="1"/>
  <c r="I4" i="20" s="1"/>
  <c r="J256" i="13"/>
  <c r="G256" i="13"/>
  <c r="K256" i="13"/>
  <c r="C256" i="13"/>
  <c r="L255" i="13"/>
  <c r="F256" i="13"/>
  <c r="H256" i="13"/>
  <c r="J255" i="13"/>
  <c r="I255" i="13"/>
  <c r="F255" i="13"/>
  <c r="L256" i="13"/>
  <c r="E255" i="13"/>
  <c r="E256" i="13"/>
  <c r="K255" i="13"/>
  <c r="I256" i="13"/>
  <c r="D256" i="13"/>
  <c r="C255" i="13"/>
  <c r="G255" i="13"/>
  <c r="H255" i="13"/>
  <c r="D255" i="13"/>
  <c r="C210" i="13"/>
  <c r="F211" i="13"/>
  <c r="C211" i="13"/>
  <c r="M211" i="13" s="1"/>
  <c r="E230" i="13" s="1"/>
  <c r="L211" i="13"/>
  <c r="F210" i="13"/>
  <c r="L210" i="13"/>
  <c r="K210" i="13"/>
  <c r="I211" i="13"/>
  <c r="G210" i="13"/>
  <c r="E211" i="13"/>
  <c r="J210" i="13"/>
  <c r="E210" i="13"/>
  <c r="J211" i="13"/>
  <c r="H210" i="13"/>
  <c r="I210" i="13"/>
  <c r="D211" i="13"/>
  <c r="K211" i="13"/>
  <c r="H211" i="13"/>
  <c r="D210" i="13"/>
  <c r="G211" i="13"/>
  <c r="E216" i="13"/>
  <c r="D217" i="13"/>
  <c r="K217" i="13"/>
  <c r="I217" i="13"/>
  <c r="G217" i="13"/>
  <c r="G216" i="13"/>
  <c r="L217" i="13"/>
  <c r="H217" i="13"/>
  <c r="J217" i="13"/>
  <c r="H216" i="13"/>
  <c r="C217" i="13"/>
  <c r="I216" i="13"/>
  <c r="J216" i="13"/>
  <c r="C216" i="13"/>
  <c r="E217" i="13"/>
  <c r="K216" i="13"/>
  <c r="F217" i="13"/>
  <c r="F216" i="13"/>
  <c r="D216" i="13"/>
  <c r="L216" i="13"/>
  <c r="M193" i="13"/>
  <c r="L198" i="13" s="1"/>
  <c r="P309" i="12"/>
  <c r="K306" i="12"/>
  <c r="I310" i="12" s="1"/>
  <c r="G322" i="12" s="1"/>
  <c r="H322" i="12" s="1"/>
  <c r="I322" i="12" s="1"/>
  <c r="J322" i="12" s="1"/>
  <c r="K322" i="12" s="1"/>
  <c r="L322" i="12" s="1"/>
  <c r="M322" i="12" s="1"/>
  <c r="N322" i="12" s="1"/>
  <c r="O322" i="12" s="1"/>
  <c r="P322" i="12" s="1"/>
  <c r="M150" i="13"/>
  <c r="G165" i="13" s="1"/>
  <c r="M153" i="13"/>
  <c r="I164" i="13" s="1"/>
  <c r="I166" i="13" s="1"/>
  <c r="M178" i="13"/>
  <c r="E197" i="13" s="1"/>
  <c r="E261" i="12"/>
  <c r="M182" i="13"/>
  <c r="G197" i="13" s="1"/>
  <c r="G199" i="13" s="1"/>
  <c r="M181" i="13"/>
  <c r="F198" i="13" s="1"/>
  <c r="H254" i="13"/>
  <c r="K254" i="13"/>
  <c r="F254" i="13"/>
  <c r="L253" i="13"/>
  <c r="C253" i="13"/>
  <c r="G247" i="13"/>
  <c r="G248" i="13"/>
  <c r="I248" i="13"/>
  <c r="L247" i="13"/>
  <c r="D247" i="13"/>
  <c r="F247" i="13"/>
  <c r="D248" i="13"/>
  <c r="K247" i="13"/>
  <c r="C247" i="13"/>
  <c r="E248" i="13"/>
  <c r="E247" i="13"/>
  <c r="H247" i="13"/>
  <c r="H248" i="13"/>
  <c r="J247" i="13"/>
  <c r="J248" i="13"/>
  <c r="I247" i="13"/>
  <c r="C248" i="13"/>
  <c r="F248" i="13"/>
  <c r="K248" i="13"/>
  <c r="L248" i="13"/>
  <c r="L204" i="13"/>
  <c r="A225" i="13" s="1"/>
  <c r="G246" i="12"/>
  <c r="H4" i="12" s="1"/>
  <c r="H4" i="20" s="1"/>
  <c r="K334" i="12"/>
  <c r="H339" i="12" s="1"/>
  <c r="O338" i="12"/>
  <c r="C221" i="13"/>
  <c r="J220" i="13"/>
  <c r="I221" i="13"/>
  <c r="F220" i="13"/>
  <c r="E221" i="13"/>
  <c r="K221" i="13"/>
  <c r="H221" i="13"/>
  <c r="H220" i="13"/>
  <c r="G220" i="13"/>
  <c r="L220" i="13"/>
  <c r="I220" i="13"/>
  <c r="D221" i="13"/>
  <c r="D220" i="13"/>
  <c r="L221" i="13"/>
  <c r="E220" i="13"/>
  <c r="K220" i="13"/>
  <c r="C220" i="13"/>
  <c r="J221" i="13"/>
  <c r="F221" i="13"/>
  <c r="G221" i="13"/>
  <c r="M144" i="13"/>
  <c r="D165" i="13" s="1"/>
  <c r="M192" i="13"/>
  <c r="L197" i="13" s="1"/>
  <c r="L199" i="13" s="1"/>
  <c r="M175" i="13"/>
  <c r="C198" i="13" s="1"/>
  <c r="C199" i="13" s="1"/>
  <c r="E223" i="13"/>
  <c r="I223" i="13"/>
  <c r="K222" i="13"/>
  <c r="D223" i="13"/>
  <c r="E222" i="13"/>
  <c r="L222" i="13"/>
  <c r="I222" i="13"/>
  <c r="G222" i="13"/>
  <c r="F222" i="13"/>
  <c r="C222" i="13"/>
  <c r="D222" i="13"/>
  <c r="G223" i="13"/>
  <c r="H222" i="13"/>
  <c r="C223" i="13"/>
  <c r="K223" i="13"/>
  <c r="J223" i="13"/>
  <c r="L223" i="13"/>
  <c r="H223" i="13"/>
  <c r="J222" i="13"/>
  <c r="F223" i="13"/>
  <c r="Z42" i="12"/>
  <c r="Z44" i="12"/>
  <c r="Z43" i="12"/>
  <c r="M149" i="13"/>
  <c r="G164" i="13" s="1"/>
  <c r="G166" i="13" s="1"/>
  <c r="M176" i="13"/>
  <c r="D197" i="13" s="1"/>
  <c r="M177" i="13"/>
  <c r="D198" i="13" s="1"/>
  <c r="M147" i="13"/>
  <c r="F164" i="13" s="1"/>
  <c r="M148" i="13"/>
  <c r="F165" i="13" s="1"/>
  <c r="D215" i="13"/>
  <c r="H214" i="13"/>
  <c r="D214" i="13"/>
  <c r="G215" i="13"/>
  <c r="L214" i="13"/>
  <c r="H215" i="13"/>
  <c r="E215" i="13"/>
  <c r="F214" i="13"/>
  <c r="I215" i="13"/>
  <c r="I214" i="13"/>
  <c r="K214" i="13"/>
  <c r="C215" i="13"/>
  <c r="F215" i="13"/>
  <c r="G214" i="13"/>
  <c r="J214" i="13"/>
  <c r="C214" i="13"/>
  <c r="J215" i="13"/>
  <c r="L215" i="13"/>
  <c r="E214" i="13"/>
  <c r="K215" i="13"/>
  <c r="M146" i="13"/>
  <c r="E165" i="13" s="1"/>
  <c r="M160" i="13"/>
  <c r="L165" i="13" s="1"/>
  <c r="M189" i="13"/>
  <c r="J198" i="13" s="1"/>
  <c r="M191" i="13"/>
  <c r="K198" i="13" s="1"/>
  <c r="F251" i="13" l="1"/>
  <c r="E253" i="13"/>
  <c r="J254" i="13"/>
  <c r="C254" i="13"/>
  <c r="I253" i="13"/>
  <c r="E254" i="13"/>
  <c r="E199" i="13"/>
  <c r="H250" i="13"/>
  <c r="J250" i="13"/>
  <c r="D249" i="13"/>
  <c r="G250" i="13"/>
  <c r="F249" i="13"/>
  <c r="M249" i="13" s="1"/>
  <c r="H262" i="13" s="1"/>
  <c r="E252" i="13"/>
  <c r="L251" i="13"/>
  <c r="G252" i="13"/>
  <c r="I251" i="13"/>
  <c r="G251" i="13"/>
  <c r="J253" i="13"/>
  <c r="D254" i="13"/>
  <c r="H253" i="13"/>
  <c r="M253" i="13" s="1"/>
  <c r="J262" i="13" s="1"/>
  <c r="F253" i="13"/>
  <c r="K253" i="13"/>
  <c r="C166" i="13"/>
  <c r="C250" i="13"/>
  <c r="I249" i="13"/>
  <c r="C249" i="13"/>
  <c r="L250" i="13"/>
  <c r="F250" i="13"/>
  <c r="K252" i="13"/>
  <c r="C251" i="13"/>
  <c r="H251" i="13"/>
  <c r="J252" i="13"/>
  <c r="D252" i="13"/>
  <c r="I242" i="13"/>
  <c r="G242" i="13"/>
  <c r="C242" i="13"/>
  <c r="M242" i="13" s="1"/>
  <c r="D263" i="13" s="1"/>
  <c r="F242" i="13"/>
  <c r="D242" i="13"/>
  <c r="G253" i="13"/>
  <c r="G254" i="13"/>
  <c r="D253" i="13"/>
  <c r="I254" i="13"/>
  <c r="H166" i="13"/>
  <c r="M244" i="13"/>
  <c r="E263" i="13" s="1"/>
  <c r="L249" i="13"/>
  <c r="E249" i="13"/>
  <c r="E250" i="13"/>
  <c r="J249" i="13"/>
  <c r="L252" i="13"/>
  <c r="J251" i="13"/>
  <c r="H252" i="13"/>
  <c r="I252" i="13"/>
  <c r="K325" i="12"/>
  <c r="G270" i="13" s="1"/>
  <c r="A281" i="13" s="1"/>
  <c r="L281" i="13" s="1"/>
  <c r="D199" i="13"/>
  <c r="M220" i="13"/>
  <c r="J229" i="13" s="1"/>
  <c r="E242" i="13"/>
  <c r="G245" i="12"/>
  <c r="H3" i="12" s="1"/>
  <c r="H3" i="20" s="1"/>
  <c r="M219" i="13"/>
  <c r="I230" i="13" s="1"/>
  <c r="M218" i="13"/>
  <c r="I229" i="13" s="1"/>
  <c r="H281" i="13"/>
  <c r="D281" i="13"/>
  <c r="E280" i="13"/>
  <c r="J280" i="13"/>
  <c r="I280" i="13"/>
  <c r="G281" i="13"/>
  <c r="L280" i="13"/>
  <c r="H280" i="13"/>
  <c r="F280" i="13"/>
  <c r="D280" i="13"/>
  <c r="M221" i="13"/>
  <c r="J230" i="13" s="1"/>
  <c r="AC35" i="12"/>
  <c r="AC48" i="12"/>
  <c r="M217" i="13"/>
  <c r="H230" i="13" s="1"/>
  <c r="G258" i="13"/>
  <c r="E257" i="13"/>
  <c r="F257" i="13"/>
  <c r="H258" i="13"/>
  <c r="C257" i="13"/>
  <c r="K257" i="13"/>
  <c r="J258" i="13"/>
  <c r="I257" i="13"/>
  <c r="D257" i="13"/>
  <c r="I258" i="13"/>
  <c r="L257" i="13"/>
  <c r="E258" i="13"/>
  <c r="L258" i="13"/>
  <c r="G257" i="13"/>
  <c r="J257" i="13"/>
  <c r="C258" i="13"/>
  <c r="K258" i="13"/>
  <c r="F258" i="13"/>
  <c r="D258" i="13"/>
  <c r="H257" i="13"/>
  <c r="N325" i="12"/>
  <c r="J270" i="13" s="1"/>
  <c r="A287" i="13" s="1"/>
  <c r="G325" i="12"/>
  <c r="E318" i="12"/>
  <c r="AA42" i="12"/>
  <c r="AA44" i="12"/>
  <c r="AA43" i="12"/>
  <c r="M216" i="13"/>
  <c r="H229" i="13" s="1"/>
  <c r="H231" i="13" s="1"/>
  <c r="E206" i="13"/>
  <c r="F206" i="13"/>
  <c r="G206" i="13"/>
  <c r="L207" i="13"/>
  <c r="K207" i="13"/>
  <c r="H207" i="13"/>
  <c r="F207" i="13"/>
  <c r="L206" i="13"/>
  <c r="G207" i="13"/>
  <c r="J206" i="13"/>
  <c r="D206" i="13"/>
  <c r="D207" i="13"/>
  <c r="H206" i="13"/>
  <c r="C206" i="13"/>
  <c r="K206" i="13"/>
  <c r="E207" i="13"/>
  <c r="J207" i="13"/>
  <c r="I206" i="13"/>
  <c r="I207" i="13"/>
  <c r="C207" i="13"/>
  <c r="M212" i="13"/>
  <c r="F229" i="13" s="1"/>
  <c r="M325" i="12"/>
  <c r="I270" i="13" s="1"/>
  <c r="A285" i="13" s="1"/>
  <c r="H199" i="13"/>
  <c r="P338" i="12"/>
  <c r="K335" i="12"/>
  <c r="I339" i="12" s="1"/>
  <c r="G351" i="12" s="1"/>
  <c r="H351" i="12" s="1"/>
  <c r="I351" i="12" s="1"/>
  <c r="J351" i="12" s="1"/>
  <c r="K351" i="12" s="1"/>
  <c r="L351" i="12" s="1"/>
  <c r="M351" i="12" s="1"/>
  <c r="N351" i="12" s="1"/>
  <c r="O351" i="12" s="1"/>
  <c r="P351" i="12" s="1"/>
  <c r="M251" i="13"/>
  <c r="I262" i="13" s="1"/>
  <c r="L166" i="13"/>
  <c r="M214" i="13"/>
  <c r="G229" i="13" s="1"/>
  <c r="M215" i="13"/>
  <c r="G230" i="13" s="1"/>
  <c r="AA52" i="12"/>
  <c r="O340" i="12" s="1"/>
  <c r="F224" i="13"/>
  <c r="K224" i="13"/>
  <c r="K225" i="13"/>
  <c r="J224" i="13"/>
  <c r="G225" i="13"/>
  <c r="E224" i="13"/>
  <c r="I225" i="13"/>
  <c r="L224" i="13"/>
  <c r="H224" i="13"/>
  <c r="C224" i="13"/>
  <c r="H225" i="13"/>
  <c r="D224" i="13"/>
  <c r="F225" i="13"/>
  <c r="I224" i="13"/>
  <c r="J225" i="13"/>
  <c r="C225" i="13"/>
  <c r="G224" i="13"/>
  <c r="D225" i="13"/>
  <c r="E225" i="13"/>
  <c r="L225" i="13"/>
  <c r="M248" i="13"/>
  <c r="G263" i="13" s="1"/>
  <c r="M247" i="13"/>
  <c r="G262" i="13" s="1"/>
  <c r="M254" i="13"/>
  <c r="J263" i="13" s="1"/>
  <c r="M210" i="13"/>
  <c r="E229" i="13" s="1"/>
  <c r="E231" i="13" s="1"/>
  <c r="M255" i="13"/>
  <c r="K262" i="13" s="1"/>
  <c r="K199" i="13"/>
  <c r="E166" i="13"/>
  <c r="J166" i="13"/>
  <c r="J325" i="12"/>
  <c r="F270" i="13" s="1"/>
  <c r="A279" i="13" s="1"/>
  <c r="P325" i="12"/>
  <c r="L325" i="12"/>
  <c r="H270" i="13" s="1"/>
  <c r="A283" i="13" s="1"/>
  <c r="M246" i="13"/>
  <c r="F263" i="13" s="1"/>
  <c r="I199" i="13"/>
  <c r="D166" i="13"/>
  <c r="C237" i="13"/>
  <c r="A240" i="13" s="1"/>
  <c r="E296" i="12"/>
  <c r="G273" i="12" s="1"/>
  <c r="I3" i="12" s="1"/>
  <c r="I3" i="20" s="1"/>
  <c r="M252" i="13"/>
  <c r="I263" i="13" s="1"/>
  <c r="J231" i="13"/>
  <c r="I334" i="12"/>
  <c r="G334" i="12" s="1"/>
  <c r="G347" i="12"/>
  <c r="O367" i="12"/>
  <c r="K363" i="12"/>
  <c r="H368" i="12" s="1"/>
  <c r="I231" i="13"/>
  <c r="O325" i="12"/>
  <c r="K270" i="13" s="1"/>
  <c r="A289" i="13" s="1"/>
  <c r="M243" i="13"/>
  <c r="E262" i="13" s="1"/>
  <c r="E264" i="13" s="1"/>
  <c r="M245" i="13"/>
  <c r="F262" i="13" s="1"/>
  <c r="M209" i="13"/>
  <c r="D230" i="13" s="1"/>
  <c r="F166" i="13"/>
  <c r="M223" i="13"/>
  <c r="K230" i="13" s="1"/>
  <c r="M222" i="13"/>
  <c r="K229" i="13" s="1"/>
  <c r="F199" i="13"/>
  <c r="M256" i="13"/>
  <c r="K263" i="13" s="1"/>
  <c r="J199" i="13"/>
  <c r="M213" i="13"/>
  <c r="F230" i="13" s="1"/>
  <c r="H325" i="12"/>
  <c r="D270" i="13" s="1"/>
  <c r="A275" i="13" s="1"/>
  <c r="I325" i="12"/>
  <c r="E270" i="13" s="1"/>
  <c r="A277" i="13" s="1"/>
  <c r="M250" i="13"/>
  <c r="H263" i="13" s="1"/>
  <c r="M208" i="13"/>
  <c r="D229" i="13" s="1"/>
  <c r="D231" i="13" s="1"/>
  <c r="AB34" i="12"/>
  <c r="AB49" i="12"/>
  <c r="M241" i="13"/>
  <c r="D262" i="13" s="1"/>
  <c r="F264" i="13" l="1"/>
  <c r="G231" i="13"/>
  <c r="E281" i="13"/>
  <c r="M281" i="13" s="1"/>
  <c r="G296" i="13" s="1"/>
  <c r="J281" i="13"/>
  <c r="G280" i="13"/>
  <c r="K281" i="13"/>
  <c r="C280" i="13"/>
  <c r="K280" i="13"/>
  <c r="I281" i="13"/>
  <c r="C281" i="13"/>
  <c r="F281" i="13"/>
  <c r="M206" i="13"/>
  <c r="C229" i="13" s="1"/>
  <c r="F231" i="13"/>
  <c r="P367" i="12"/>
  <c r="K364" i="12"/>
  <c r="I368" i="12" s="1"/>
  <c r="G380" i="12" s="1"/>
  <c r="H380" i="12" s="1"/>
  <c r="I380" i="12" s="1"/>
  <c r="J380" i="12" s="1"/>
  <c r="K380" i="12" s="1"/>
  <c r="L380" i="12" s="1"/>
  <c r="M380" i="12" s="1"/>
  <c r="N380" i="12" s="1"/>
  <c r="O380" i="12" s="1"/>
  <c r="P380" i="12" s="1"/>
  <c r="AB52" i="12"/>
  <c r="O369" i="12" s="1"/>
  <c r="AD35" i="12"/>
  <c r="AD48" i="12"/>
  <c r="L347" i="12"/>
  <c r="L354" i="12" s="1"/>
  <c r="H304" i="13" s="1"/>
  <c r="A317" i="13" s="1"/>
  <c r="M347" i="12"/>
  <c r="M354" i="12" s="1"/>
  <c r="I304" i="13" s="1"/>
  <c r="A319" i="13" s="1"/>
  <c r="H347" i="12"/>
  <c r="H354" i="12" s="1"/>
  <c r="D304" i="13" s="1"/>
  <c r="A309" i="13" s="1"/>
  <c r="O347" i="12"/>
  <c r="O354" i="12" s="1"/>
  <c r="K304" i="13" s="1"/>
  <c r="A323" i="13" s="1"/>
  <c r="J347" i="12"/>
  <c r="J354" i="12" s="1"/>
  <c r="F304" i="13" s="1"/>
  <c r="A313" i="13" s="1"/>
  <c r="P347" i="12"/>
  <c r="P354" i="12" s="1"/>
  <c r="I347" i="12"/>
  <c r="I354" i="12" s="1"/>
  <c r="E304" i="13" s="1"/>
  <c r="A311" i="13" s="1"/>
  <c r="G303" i="12"/>
  <c r="J4" i="12" s="1"/>
  <c r="J4" i="20" s="1"/>
  <c r="L270" i="13"/>
  <c r="A291" i="13" s="1"/>
  <c r="I284" i="13"/>
  <c r="D284" i="13"/>
  <c r="G284" i="13"/>
  <c r="H285" i="13"/>
  <c r="K284" i="13"/>
  <c r="C285" i="13"/>
  <c r="E285" i="13"/>
  <c r="L284" i="13"/>
  <c r="F285" i="13"/>
  <c r="E284" i="13"/>
  <c r="L285" i="13"/>
  <c r="J284" i="13"/>
  <c r="I285" i="13"/>
  <c r="D285" i="13"/>
  <c r="G285" i="13"/>
  <c r="F284" i="13"/>
  <c r="K285" i="13"/>
  <c r="J285" i="13"/>
  <c r="C284" i="13"/>
  <c r="H284" i="13"/>
  <c r="C270" i="13"/>
  <c r="A273" i="13" s="1"/>
  <c r="E325" i="12"/>
  <c r="G302" i="12" s="1"/>
  <c r="J3" i="12" s="1"/>
  <c r="J3" i="20" s="1"/>
  <c r="AC34" i="12"/>
  <c r="AC49" i="12"/>
  <c r="AC52" i="12" s="1"/>
  <c r="O398" i="12" s="1"/>
  <c r="N347" i="12"/>
  <c r="N354" i="12" s="1"/>
  <c r="J304" i="13" s="1"/>
  <c r="A321" i="13" s="1"/>
  <c r="K347" i="12"/>
  <c r="K354" i="12" s="1"/>
  <c r="G304" i="13" s="1"/>
  <c r="A315" i="13" s="1"/>
  <c r="G376" i="12"/>
  <c r="I363" i="12"/>
  <c r="G363" i="12" s="1"/>
  <c r="M376" i="12" s="1"/>
  <c r="M383" i="12" s="1"/>
  <c r="I337" i="13" s="1"/>
  <c r="A352" i="13" s="1"/>
  <c r="H277" i="13"/>
  <c r="K277" i="13"/>
  <c r="L277" i="13"/>
  <c r="G276" i="13"/>
  <c r="H276" i="13"/>
  <c r="J277" i="13"/>
  <c r="E277" i="13"/>
  <c r="E276" i="13"/>
  <c r="K276" i="13"/>
  <c r="G277" i="13"/>
  <c r="F277" i="13"/>
  <c r="D277" i="13"/>
  <c r="D276" i="13"/>
  <c r="I276" i="13"/>
  <c r="J276" i="13"/>
  <c r="I277" i="13"/>
  <c r="C277" i="13"/>
  <c r="C276" i="13"/>
  <c r="F276" i="13"/>
  <c r="L276" i="13"/>
  <c r="F279" i="13"/>
  <c r="C279" i="13"/>
  <c r="G279" i="13"/>
  <c r="G278" i="13"/>
  <c r="E278" i="13"/>
  <c r="L279" i="13"/>
  <c r="K278" i="13"/>
  <c r="H278" i="13"/>
  <c r="I279" i="13"/>
  <c r="E279" i="13"/>
  <c r="J278" i="13"/>
  <c r="I278" i="13"/>
  <c r="D279" i="13"/>
  <c r="F278" i="13"/>
  <c r="K279" i="13"/>
  <c r="C278" i="13"/>
  <c r="H279" i="13"/>
  <c r="J279" i="13"/>
  <c r="L278" i="13"/>
  <c r="D278" i="13"/>
  <c r="J286" i="13"/>
  <c r="H286" i="13"/>
  <c r="E286" i="13"/>
  <c r="H287" i="13"/>
  <c r="G286" i="13"/>
  <c r="J287" i="13"/>
  <c r="G287" i="13"/>
  <c r="D286" i="13"/>
  <c r="F287" i="13"/>
  <c r="I286" i="13"/>
  <c r="C287" i="13"/>
  <c r="D287" i="13"/>
  <c r="K286" i="13"/>
  <c r="K287" i="13"/>
  <c r="F286" i="13"/>
  <c r="E287" i="13"/>
  <c r="L286" i="13"/>
  <c r="L287" i="13"/>
  <c r="C286" i="13"/>
  <c r="I287" i="13"/>
  <c r="D264" i="13"/>
  <c r="E275" i="13"/>
  <c r="J275" i="13"/>
  <c r="I274" i="13"/>
  <c r="G274" i="13"/>
  <c r="K275" i="13"/>
  <c r="H274" i="13"/>
  <c r="D274" i="13"/>
  <c r="H275" i="13"/>
  <c r="C275" i="13"/>
  <c r="E274" i="13"/>
  <c r="L275" i="13"/>
  <c r="I275" i="13"/>
  <c r="J274" i="13"/>
  <c r="G275" i="13"/>
  <c r="C274" i="13"/>
  <c r="F274" i="13"/>
  <c r="D275" i="13"/>
  <c r="F275" i="13"/>
  <c r="K274" i="13"/>
  <c r="L274" i="13"/>
  <c r="I264" i="13"/>
  <c r="M207" i="13"/>
  <c r="C230" i="13" s="1"/>
  <c r="M258" i="13"/>
  <c r="L263" i="13" s="1"/>
  <c r="M280" i="13"/>
  <c r="G295" i="13" s="1"/>
  <c r="AB44" i="12"/>
  <c r="AB43" i="12"/>
  <c r="E289" i="13"/>
  <c r="H289" i="13"/>
  <c r="C288" i="13"/>
  <c r="L289" i="13"/>
  <c r="L288" i="13"/>
  <c r="I288" i="13"/>
  <c r="F289" i="13"/>
  <c r="J288" i="13"/>
  <c r="F288" i="13"/>
  <c r="D288" i="13"/>
  <c r="J289" i="13"/>
  <c r="I289" i="13"/>
  <c r="D289" i="13"/>
  <c r="C289" i="13"/>
  <c r="K288" i="13"/>
  <c r="G288" i="13"/>
  <c r="E288" i="13"/>
  <c r="G289" i="13"/>
  <c r="H288" i="13"/>
  <c r="K289" i="13"/>
  <c r="K264" i="13"/>
  <c r="M225" i="13"/>
  <c r="L230" i="13" s="1"/>
  <c r="M257" i="13"/>
  <c r="L262" i="13" s="1"/>
  <c r="AB42" i="12"/>
  <c r="H264" i="13"/>
  <c r="K231" i="13"/>
  <c r="G354" i="12"/>
  <c r="I240" i="13"/>
  <c r="L239" i="13"/>
  <c r="C239" i="13"/>
  <c r="F240" i="13"/>
  <c r="K240" i="13"/>
  <c r="D240" i="13"/>
  <c r="J239" i="13"/>
  <c r="I239" i="13"/>
  <c r="L240" i="13"/>
  <c r="K239" i="13"/>
  <c r="H240" i="13"/>
  <c r="J240" i="13"/>
  <c r="G239" i="13"/>
  <c r="D239" i="13"/>
  <c r="E240" i="13"/>
  <c r="C240" i="13"/>
  <c r="H239" i="13"/>
  <c r="F239" i="13"/>
  <c r="G240" i="13"/>
  <c r="E239" i="13"/>
  <c r="G283" i="13"/>
  <c r="C283" i="13"/>
  <c r="I282" i="13"/>
  <c r="L283" i="13"/>
  <c r="J282" i="13"/>
  <c r="H282" i="13"/>
  <c r="K282" i="13"/>
  <c r="D282" i="13"/>
  <c r="D283" i="13"/>
  <c r="H283" i="13"/>
  <c r="E283" i="13"/>
  <c r="F282" i="13"/>
  <c r="G282" i="13"/>
  <c r="E282" i="13"/>
  <c r="F283" i="13"/>
  <c r="J283" i="13"/>
  <c r="C282" i="13"/>
  <c r="K283" i="13"/>
  <c r="L282" i="13"/>
  <c r="I283" i="13"/>
  <c r="G264" i="13"/>
  <c r="M224" i="13"/>
  <c r="L229" i="13" s="1"/>
  <c r="L231" i="13" s="1"/>
  <c r="J264" i="13"/>
  <c r="K392" i="12"/>
  <c r="H397" i="12" s="1"/>
  <c r="O396" i="12"/>
  <c r="L264" i="13" l="1"/>
  <c r="C231" i="13"/>
  <c r="P376" i="12"/>
  <c r="P383" i="12" s="1"/>
  <c r="O376" i="12"/>
  <c r="O383" i="12" s="1"/>
  <c r="K337" i="13" s="1"/>
  <c r="A356" i="13" s="1"/>
  <c r="C355" i="13" s="1"/>
  <c r="M282" i="13"/>
  <c r="H295" i="13" s="1"/>
  <c r="M289" i="13"/>
  <c r="K296" i="13" s="1"/>
  <c r="G297" i="13"/>
  <c r="M276" i="13"/>
  <c r="E295" i="13" s="1"/>
  <c r="E297" i="13" s="1"/>
  <c r="I376" i="12"/>
  <c r="I383" i="12" s="1"/>
  <c r="E337" i="13" s="1"/>
  <c r="A344" i="13" s="1"/>
  <c r="H376" i="12"/>
  <c r="H383" i="12" s="1"/>
  <c r="D337" i="13" s="1"/>
  <c r="A342" i="13" s="1"/>
  <c r="M284" i="13"/>
  <c r="I295" i="13" s="1"/>
  <c r="M279" i="13"/>
  <c r="F296" i="13" s="1"/>
  <c r="F356" i="13"/>
  <c r="H355" i="13"/>
  <c r="D355" i="13"/>
  <c r="H356" i="13"/>
  <c r="F355" i="13"/>
  <c r="J318" i="13"/>
  <c r="J319" i="13"/>
  <c r="C318" i="13"/>
  <c r="L319" i="13"/>
  <c r="L318" i="13"/>
  <c r="F319" i="13"/>
  <c r="D318" i="13"/>
  <c r="F318" i="13"/>
  <c r="H319" i="13"/>
  <c r="I319" i="13"/>
  <c r="C319" i="13"/>
  <c r="G318" i="13"/>
  <c r="D319" i="13"/>
  <c r="E318" i="13"/>
  <c r="I318" i="13"/>
  <c r="K318" i="13"/>
  <c r="H318" i="13"/>
  <c r="E319" i="13"/>
  <c r="G319" i="13"/>
  <c r="K319" i="13"/>
  <c r="M240" i="13"/>
  <c r="C263" i="13" s="1"/>
  <c r="E347" i="12"/>
  <c r="M277" i="13"/>
  <c r="E296" i="13" s="1"/>
  <c r="L337" i="13"/>
  <c r="A358" i="13" s="1"/>
  <c r="J343" i="13"/>
  <c r="G343" i="13"/>
  <c r="D344" i="13"/>
  <c r="I343" i="13"/>
  <c r="D343" i="13"/>
  <c r="E343" i="13"/>
  <c r="E344" i="13"/>
  <c r="I344" i="13"/>
  <c r="H343" i="13"/>
  <c r="L344" i="13"/>
  <c r="C344" i="13"/>
  <c r="H344" i="13"/>
  <c r="F343" i="13"/>
  <c r="F344" i="13"/>
  <c r="C343" i="13"/>
  <c r="G344" i="13"/>
  <c r="K344" i="13"/>
  <c r="J344" i="13"/>
  <c r="L343" i="13"/>
  <c r="K343" i="13"/>
  <c r="L321" i="13"/>
  <c r="J321" i="13"/>
  <c r="E321" i="13"/>
  <c r="K320" i="13"/>
  <c r="I320" i="13"/>
  <c r="K321" i="13"/>
  <c r="H320" i="13"/>
  <c r="D320" i="13"/>
  <c r="G321" i="13"/>
  <c r="E320" i="13"/>
  <c r="H321" i="13"/>
  <c r="F320" i="13"/>
  <c r="G320" i="13"/>
  <c r="D321" i="13"/>
  <c r="J320" i="13"/>
  <c r="L320" i="13"/>
  <c r="C321" i="13"/>
  <c r="I321" i="13"/>
  <c r="F321" i="13"/>
  <c r="C320" i="13"/>
  <c r="M285" i="13"/>
  <c r="I296" i="13" s="1"/>
  <c r="F313" i="13"/>
  <c r="I313" i="13"/>
  <c r="I312" i="13"/>
  <c r="G312" i="13"/>
  <c r="J313" i="13"/>
  <c r="H313" i="13"/>
  <c r="C312" i="13"/>
  <c r="E313" i="13"/>
  <c r="D313" i="13"/>
  <c r="H312" i="13"/>
  <c r="G313" i="13"/>
  <c r="D312" i="13"/>
  <c r="L313" i="13"/>
  <c r="J312" i="13"/>
  <c r="E312" i="13"/>
  <c r="K312" i="13"/>
  <c r="K313" i="13"/>
  <c r="L312" i="13"/>
  <c r="C313" i="13"/>
  <c r="F312" i="13"/>
  <c r="I317" i="13"/>
  <c r="D316" i="13"/>
  <c r="C316" i="13"/>
  <c r="H316" i="13"/>
  <c r="G317" i="13"/>
  <c r="J317" i="13"/>
  <c r="K317" i="13"/>
  <c r="L317" i="13"/>
  <c r="L316" i="13"/>
  <c r="C317" i="13"/>
  <c r="F316" i="13"/>
  <c r="E316" i="13"/>
  <c r="G316" i="13"/>
  <c r="J316" i="13"/>
  <c r="F317" i="13"/>
  <c r="D317" i="13"/>
  <c r="I316" i="13"/>
  <c r="K316" i="13"/>
  <c r="H317" i="13"/>
  <c r="E317" i="13"/>
  <c r="I392" i="12"/>
  <c r="G392" i="12" s="1"/>
  <c r="P405" i="12" s="1"/>
  <c r="G405" i="12"/>
  <c r="M405" i="12"/>
  <c r="M275" i="13"/>
  <c r="D296" i="13" s="1"/>
  <c r="J342" i="13"/>
  <c r="L341" i="13"/>
  <c r="D342" i="13"/>
  <c r="I341" i="13"/>
  <c r="J341" i="13"/>
  <c r="H342" i="13"/>
  <c r="K341" i="13"/>
  <c r="C342" i="13"/>
  <c r="F342" i="13"/>
  <c r="E342" i="13"/>
  <c r="C341" i="13"/>
  <c r="L342" i="13"/>
  <c r="E341" i="13"/>
  <c r="G341" i="13"/>
  <c r="G342" i="13"/>
  <c r="H341" i="13"/>
  <c r="I342" i="13"/>
  <c r="K342" i="13"/>
  <c r="D341" i="13"/>
  <c r="F341" i="13"/>
  <c r="J314" i="13"/>
  <c r="K314" i="13"/>
  <c r="F315" i="13"/>
  <c r="L314" i="13"/>
  <c r="E315" i="13"/>
  <c r="G315" i="13"/>
  <c r="G314" i="13"/>
  <c r="H315" i="13"/>
  <c r="C315" i="13"/>
  <c r="H314" i="13"/>
  <c r="D315" i="13"/>
  <c r="L315" i="13"/>
  <c r="K315" i="13"/>
  <c r="J315" i="13"/>
  <c r="I315" i="13"/>
  <c r="C314" i="13"/>
  <c r="I314" i="13"/>
  <c r="F314" i="13"/>
  <c r="D314" i="13"/>
  <c r="E314" i="13"/>
  <c r="AC43" i="12"/>
  <c r="AC44" i="12"/>
  <c r="AD49" i="12"/>
  <c r="AD34" i="12"/>
  <c r="M239" i="13"/>
  <c r="C262" i="13" s="1"/>
  <c r="C264" i="13" s="1"/>
  <c r="C304" i="13"/>
  <c r="A307" i="13" s="1"/>
  <c r="E354" i="12"/>
  <c r="M274" i="13"/>
  <c r="D295" i="13" s="1"/>
  <c r="D297" i="13" s="1"/>
  <c r="M278" i="13"/>
  <c r="F295" i="13" s="1"/>
  <c r="F297" i="13" s="1"/>
  <c r="C352" i="13"/>
  <c r="L351" i="13"/>
  <c r="D352" i="13"/>
  <c r="H352" i="13"/>
  <c r="D351" i="13"/>
  <c r="C351" i="13"/>
  <c r="E351" i="13"/>
  <c r="F352" i="13"/>
  <c r="E352" i="13"/>
  <c r="K352" i="13"/>
  <c r="G351" i="13"/>
  <c r="I351" i="13"/>
  <c r="J351" i="13"/>
  <c r="H351" i="13"/>
  <c r="K351" i="13"/>
  <c r="F351" i="13"/>
  <c r="I352" i="13"/>
  <c r="G352" i="13"/>
  <c r="L352" i="13"/>
  <c r="J352" i="13"/>
  <c r="N376" i="12"/>
  <c r="N383" i="12" s="1"/>
  <c r="J337" i="13" s="1"/>
  <c r="A354" i="13" s="1"/>
  <c r="J376" i="12"/>
  <c r="J383" i="12" s="1"/>
  <c r="F337" i="13" s="1"/>
  <c r="A346" i="13" s="1"/>
  <c r="AC42" i="12"/>
  <c r="L272" i="13"/>
  <c r="K273" i="13"/>
  <c r="K272" i="13"/>
  <c r="E272" i="13"/>
  <c r="J272" i="13"/>
  <c r="F272" i="13"/>
  <c r="J273" i="13"/>
  <c r="H272" i="13"/>
  <c r="I273" i="13"/>
  <c r="F273" i="13"/>
  <c r="D273" i="13"/>
  <c r="H273" i="13"/>
  <c r="C272" i="13"/>
  <c r="E273" i="13"/>
  <c r="C273" i="13"/>
  <c r="D272" i="13"/>
  <c r="G273" i="13"/>
  <c r="G272" i="13"/>
  <c r="L273" i="13"/>
  <c r="I272" i="13"/>
  <c r="L322" i="13"/>
  <c r="E323" i="13"/>
  <c r="I322" i="13"/>
  <c r="G322" i="13"/>
  <c r="K322" i="13"/>
  <c r="H323" i="13"/>
  <c r="F322" i="13"/>
  <c r="D323" i="13"/>
  <c r="G323" i="13"/>
  <c r="D322" i="13"/>
  <c r="J322" i="13"/>
  <c r="J323" i="13"/>
  <c r="L323" i="13"/>
  <c r="E322" i="13"/>
  <c r="H322" i="13"/>
  <c r="C323" i="13"/>
  <c r="I323" i="13"/>
  <c r="C322" i="13"/>
  <c r="K323" i="13"/>
  <c r="F323" i="13"/>
  <c r="AE35" i="12"/>
  <c r="AE48" i="12"/>
  <c r="G332" i="12"/>
  <c r="K4" i="12" s="1"/>
  <c r="K4" i="20" s="1"/>
  <c r="L304" i="13"/>
  <c r="A325" i="13" s="1"/>
  <c r="M283" i="13"/>
  <c r="H296" i="13" s="1"/>
  <c r="H297" i="13" s="1"/>
  <c r="M288" i="13"/>
  <c r="K295" i="13" s="1"/>
  <c r="K297" i="13" s="1"/>
  <c r="M286" i="13"/>
  <c r="J295" i="13" s="1"/>
  <c r="M287" i="13"/>
  <c r="J296" i="13" s="1"/>
  <c r="L376" i="12"/>
  <c r="L383" i="12" s="1"/>
  <c r="H337" i="13" s="1"/>
  <c r="A350" i="13" s="1"/>
  <c r="K376" i="12"/>
  <c r="K383" i="12" s="1"/>
  <c r="G337" i="13" s="1"/>
  <c r="A348" i="13" s="1"/>
  <c r="G383" i="12"/>
  <c r="K393" i="12"/>
  <c r="I397" i="12" s="1"/>
  <c r="G409" i="12" s="1"/>
  <c r="H409" i="12" s="1"/>
  <c r="I409" i="12" s="1"/>
  <c r="J409" i="12" s="1"/>
  <c r="K409" i="12" s="1"/>
  <c r="L409" i="12" s="1"/>
  <c r="M409" i="12" s="1"/>
  <c r="N409" i="12" s="1"/>
  <c r="O409" i="12" s="1"/>
  <c r="P409" i="12" s="1"/>
  <c r="P412" i="12" s="1"/>
  <c r="P396" i="12"/>
  <c r="G291" i="13"/>
  <c r="G290" i="13"/>
  <c r="H291" i="13"/>
  <c r="I290" i="13"/>
  <c r="E290" i="13"/>
  <c r="E291" i="13"/>
  <c r="C291" i="13"/>
  <c r="K290" i="13"/>
  <c r="L291" i="13"/>
  <c r="D290" i="13"/>
  <c r="F290" i="13"/>
  <c r="L290" i="13"/>
  <c r="K291" i="13"/>
  <c r="I291" i="13"/>
  <c r="J290" i="13"/>
  <c r="C290" i="13"/>
  <c r="H290" i="13"/>
  <c r="F291" i="13"/>
  <c r="D291" i="13"/>
  <c r="J291" i="13"/>
  <c r="C310" i="13"/>
  <c r="K310" i="13"/>
  <c r="H310" i="13"/>
  <c r="D311" i="13"/>
  <c r="F310" i="13"/>
  <c r="H311" i="13"/>
  <c r="D310" i="13"/>
  <c r="I310" i="13"/>
  <c r="L311" i="13"/>
  <c r="J311" i="13"/>
  <c r="C311" i="13"/>
  <c r="J310" i="13"/>
  <c r="L310" i="13"/>
  <c r="E311" i="13"/>
  <c r="G311" i="13"/>
  <c r="K311" i="13"/>
  <c r="I311" i="13"/>
  <c r="E310" i="13"/>
  <c r="G310" i="13"/>
  <c r="F311" i="13"/>
  <c r="D309" i="13"/>
  <c r="E309" i="13"/>
  <c r="F309" i="13"/>
  <c r="L309" i="13"/>
  <c r="G308" i="13"/>
  <c r="H308" i="13"/>
  <c r="L308" i="13"/>
  <c r="J308" i="13"/>
  <c r="C308" i="13"/>
  <c r="G309" i="13"/>
  <c r="I308" i="13"/>
  <c r="F308" i="13"/>
  <c r="H309" i="13"/>
  <c r="E308" i="13"/>
  <c r="K309" i="13"/>
  <c r="C309" i="13"/>
  <c r="K308" i="13"/>
  <c r="D308" i="13"/>
  <c r="I309" i="13"/>
  <c r="J309" i="13"/>
  <c r="K421" i="12"/>
  <c r="H426" i="12" s="1"/>
  <c r="O425" i="12"/>
  <c r="E356" i="13" l="1"/>
  <c r="K355" i="13"/>
  <c r="C356" i="13"/>
  <c r="M356" i="13" s="1"/>
  <c r="K363" i="13" s="1"/>
  <c r="D356" i="13"/>
  <c r="G361" i="12"/>
  <c r="L4" i="12" s="1"/>
  <c r="L4" i="20" s="1"/>
  <c r="I356" i="13"/>
  <c r="L355" i="13"/>
  <c r="M355" i="13" s="1"/>
  <c r="K362" i="13" s="1"/>
  <c r="J356" i="13"/>
  <c r="I355" i="13"/>
  <c r="G355" i="13"/>
  <c r="L356" i="13"/>
  <c r="I405" i="12"/>
  <c r="I412" i="12" s="1"/>
  <c r="E371" i="13" s="1"/>
  <c r="A378" i="13" s="1"/>
  <c r="I297" i="13"/>
  <c r="J355" i="13"/>
  <c r="G356" i="13"/>
  <c r="K356" i="13"/>
  <c r="E355" i="13"/>
  <c r="M321" i="13"/>
  <c r="J330" i="13" s="1"/>
  <c r="J405" i="12"/>
  <c r="N405" i="12"/>
  <c r="K405" i="12"/>
  <c r="H405" i="12"/>
  <c r="M309" i="13"/>
  <c r="D330" i="13" s="1"/>
  <c r="M290" i="13"/>
  <c r="L295" i="13" s="1"/>
  <c r="O405" i="12"/>
  <c r="O412" i="12" s="1"/>
  <c r="K371" i="13" s="1"/>
  <c r="A390" i="13" s="1"/>
  <c r="L405" i="12"/>
  <c r="L412" i="12" s="1"/>
  <c r="H371" i="13" s="1"/>
  <c r="A384" i="13" s="1"/>
  <c r="J384" i="13" s="1"/>
  <c r="N412" i="12"/>
  <c r="J371" i="13" s="1"/>
  <c r="A388" i="13" s="1"/>
  <c r="I387" i="13" s="1"/>
  <c r="G325" i="13"/>
  <c r="K325" i="13"/>
  <c r="I325" i="13"/>
  <c r="F324" i="13"/>
  <c r="J324" i="13"/>
  <c r="K324" i="13"/>
  <c r="L324" i="13"/>
  <c r="D324" i="13"/>
  <c r="G324" i="13"/>
  <c r="E324" i="13"/>
  <c r="D325" i="13"/>
  <c r="C325" i="13"/>
  <c r="I324" i="13"/>
  <c r="E325" i="13"/>
  <c r="J325" i="13"/>
  <c r="H324" i="13"/>
  <c r="C324" i="13"/>
  <c r="F325" i="13"/>
  <c r="H325" i="13"/>
  <c r="L325" i="13"/>
  <c r="M323" i="13"/>
  <c r="K330" i="13" s="1"/>
  <c r="AD52" i="12"/>
  <c r="O427" i="12" s="1"/>
  <c r="K422" i="12"/>
  <c r="I426" i="12" s="1"/>
  <c r="G438" i="12" s="1"/>
  <c r="H438" i="12" s="1"/>
  <c r="I438" i="12" s="1"/>
  <c r="J438" i="12" s="1"/>
  <c r="K438" i="12" s="1"/>
  <c r="L438" i="12" s="1"/>
  <c r="M438" i="12" s="1"/>
  <c r="N438" i="12" s="1"/>
  <c r="O438" i="12" s="1"/>
  <c r="P438" i="12" s="1"/>
  <c r="P425" i="12"/>
  <c r="G388" i="13"/>
  <c r="D387" i="13"/>
  <c r="D388" i="13"/>
  <c r="L388" i="13"/>
  <c r="H388" i="13"/>
  <c r="M311" i="13"/>
  <c r="E330" i="13" s="1"/>
  <c r="M291" i="13"/>
  <c r="L296" i="13" s="1"/>
  <c r="L371" i="13"/>
  <c r="A392" i="13" s="1"/>
  <c r="H350" i="13"/>
  <c r="E350" i="13"/>
  <c r="F349" i="13"/>
  <c r="G349" i="13"/>
  <c r="D350" i="13"/>
  <c r="D349" i="13"/>
  <c r="E349" i="13"/>
  <c r="I349" i="13"/>
  <c r="I350" i="13"/>
  <c r="F350" i="13"/>
  <c r="G350" i="13"/>
  <c r="K350" i="13"/>
  <c r="J350" i="13"/>
  <c r="K349" i="13"/>
  <c r="C349" i="13"/>
  <c r="J349" i="13"/>
  <c r="L349" i="13"/>
  <c r="C350" i="13"/>
  <c r="L350" i="13"/>
  <c r="H349" i="13"/>
  <c r="M273" i="13"/>
  <c r="C296" i="13" s="1"/>
  <c r="D346" i="13"/>
  <c r="K346" i="13"/>
  <c r="I346" i="13"/>
  <c r="J346" i="13"/>
  <c r="D345" i="13"/>
  <c r="I345" i="13"/>
  <c r="L345" i="13"/>
  <c r="E345" i="13"/>
  <c r="H346" i="13"/>
  <c r="K345" i="13"/>
  <c r="G346" i="13"/>
  <c r="H345" i="13"/>
  <c r="C345" i="13"/>
  <c r="L346" i="13"/>
  <c r="E346" i="13"/>
  <c r="G345" i="13"/>
  <c r="C346" i="13"/>
  <c r="F346" i="13"/>
  <c r="J345" i="13"/>
  <c r="F345" i="13"/>
  <c r="M351" i="13"/>
  <c r="I362" i="13" s="1"/>
  <c r="G331" i="12"/>
  <c r="K3" i="12" s="1"/>
  <c r="K3" i="20" s="1"/>
  <c r="K412" i="12"/>
  <c r="G371" i="13" s="1"/>
  <c r="A382" i="13" s="1"/>
  <c r="H412" i="12"/>
  <c r="D371" i="13" s="1"/>
  <c r="A376" i="13" s="1"/>
  <c r="M316" i="13"/>
  <c r="H329" i="13" s="1"/>
  <c r="M313" i="13"/>
  <c r="F330" i="13" s="1"/>
  <c r="M312" i="13"/>
  <c r="F329" i="13" s="1"/>
  <c r="M320" i="13"/>
  <c r="J329" i="13" s="1"/>
  <c r="J331" i="13" s="1"/>
  <c r="K357" i="13"/>
  <c r="L358" i="13"/>
  <c r="C357" i="13"/>
  <c r="H358" i="13"/>
  <c r="J357" i="13"/>
  <c r="L357" i="13"/>
  <c r="H357" i="13"/>
  <c r="G357" i="13"/>
  <c r="E358" i="13"/>
  <c r="J358" i="13"/>
  <c r="D357" i="13"/>
  <c r="F358" i="13"/>
  <c r="D358" i="13"/>
  <c r="I357" i="13"/>
  <c r="G358" i="13"/>
  <c r="F357" i="13"/>
  <c r="C358" i="13"/>
  <c r="K358" i="13"/>
  <c r="I358" i="13"/>
  <c r="E357" i="13"/>
  <c r="C347" i="13"/>
  <c r="H348" i="13"/>
  <c r="L348" i="13"/>
  <c r="L347" i="13"/>
  <c r="K347" i="13"/>
  <c r="H347" i="13"/>
  <c r="E348" i="13"/>
  <c r="G347" i="13"/>
  <c r="I347" i="13"/>
  <c r="E347" i="13"/>
  <c r="K348" i="13"/>
  <c r="J347" i="13"/>
  <c r="I348" i="13"/>
  <c r="D348" i="13"/>
  <c r="F348" i="13"/>
  <c r="C348" i="13"/>
  <c r="J348" i="13"/>
  <c r="D347" i="13"/>
  <c r="G348" i="13"/>
  <c r="F347" i="13"/>
  <c r="E376" i="12"/>
  <c r="M322" i="13"/>
  <c r="K329" i="13" s="1"/>
  <c r="H354" i="13"/>
  <c r="K354" i="13"/>
  <c r="H353" i="13"/>
  <c r="I354" i="13"/>
  <c r="F353" i="13"/>
  <c r="I353" i="13"/>
  <c r="E353" i="13"/>
  <c r="J353" i="13"/>
  <c r="G354" i="13"/>
  <c r="E354" i="13"/>
  <c r="F354" i="13"/>
  <c r="D354" i="13"/>
  <c r="K353" i="13"/>
  <c r="L353" i="13"/>
  <c r="D353" i="13"/>
  <c r="L354" i="13"/>
  <c r="C354" i="13"/>
  <c r="C353" i="13"/>
  <c r="J354" i="13"/>
  <c r="G353" i="13"/>
  <c r="M352" i="13"/>
  <c r="I363" i="13" s="1"/>
  <c r="E306" i="13"/>
  <c r="J306" i="13"/>
  <c r="H307" i="13"/>
  <c r="K307" i="13"/>
  <c r="K306" i="13"/>
  <c r="J307" i="13"/>
  <c r="I307" i="13"/>
  <c r="I306" i="13"/>
  <c r="D306" i="13"/>
  <c r="H306" i="13"/>
  <c r="C307" i="13"/>
  <c r="G306" i="13"/>
  <c r="D307" i="13"/>
  <c r="G307" i="13"/>
  <c r="C306" i="13"/>
  <c r="L307" i="13"/>
  <c r="L306" i="13"/>
  <c r="F306" i="13"/>
  <c r="E307" i="13"/>
  <c r="F307" i="13"/>
  <c r="M315" i="13"/>
  <c r="G330" i="13" s="1"/>
  <c r="J390" i="13"/>
  <c r="E389" i="13"/>
  <c r="J389" i="13"/>
  <c r="K389" i="13"/>
  <c r="C389" i="13"/>
  <c r="E390" i="13"/>
  <c r="F390" i="13"/>
  <c r="F389" i="13"/>
  <c r="C390" i="13"/>
  <c r="D390" i="13"/>
  <c r="K390" i="13"/>
  <c r="H389" i="13"/>
  <c r="L389" i="13"/>
  <c r="I390" i="13"/>
  <c r="H390" i="13"/>
  <c r="I389" i="13"/>
  <c r="G389" i="13"/>
  <c r="D389" i="13"/>
  <c r="L390" i="13"/>
  <c r="G390" i="13"/>
  <c r="H383" i="13"/>
  <c r="C384" i="13"/>
  <c r="I383" i="13"/>
  <c r="K384" i="13"/>
  <c r="E383" i="13"/>
  <c r="D384" i="13"/>
  <c r="J383" i="13"/>
  <c r="G384" i="13"/>
  <c r="H384" i="13"/>
  <c r="K383" i="13"/>
  <c r="M317" i="13"/>
  <c r="H330" i="13" s="1"/>
  <c r="M343" i="13"/>
  <c r="E362" i="13" s="1"/>
  <c r="M344" i="13"/>
  <c r="E363" i="13" s="1"/>
  <c r="AF48" i="12"/>
  <c r="AF35" i="12"/>
  <c r="M341" i="13"/>
  <c r="D362" i="13" s="1"/>
  <c r="G412" i="12"/>
  <c r="K450" i="12"/>
  <c r="H455" i="12" s="1"/>
  <c r="O454" i="12"/>
  <c r="I421" i="12"/>
  <c r="G421" i="12" s="1"/>
  <c r="M434" i="12" s="1"/>
  <c r="G434" i="12"/>
  <c r="N434" i="12"/>
  <c r="N441" i="12" s="1"/>
  <c r="J405" i="13" s="1"/>
  <c r="A422" i="13" s="1"/>
  <c r="H434" i="12"/>
  <c r="H441" i="12" s="1"/>
  <c r="D405" i="13" s="1"/>
  <c r="A410" i="13" s="1"/>
  <c r="M308" i="13"/>
  <c r="D329" i="13" s="1"/>
  <c r="M310" i="13"/>
  <c r="E329" i="13" s="1"/>
  <c r="E331" i="13" s="1"/>
  <c r="E383" i="12"/>
  <c r="C337" i="13"/>
  <c r="A340" i="13" s="1"/>
  <c r="J297" i="13"/>
  <c r="AE34" i="12"/>
  <c r="AE42" i="12" s="1"/>
  <c r="AE49" i="12"/>
  <c r="AE52" i="12" s="1"/>
  <c r="O456" i="12" s="1"/>
  <c r="M272" i="13"/>
  <c r="C295" i="13" s="1"/>
  <c r="C297" i="13" s="1"/>
  <c r="AD42" i="12"/>
  <c r="AD43" i="12"/>
  <c r="AD44" i="12"/>
  <c r="M314" i="13"/>
  <c r="G329" i="13" s="1"/>
  <c r="G331" i="13" s="1"/>
  <c r="M342" i="13"/>
  <c r="D363" i="13" s="1"/>
  <c r="M412" i="12"/>
  <c r="I371" i="13" s="1"/>
  <c r="A386" i="13" s="1"/>
  <c r="J412" i="12"/>
  <c r="F371" i="13" s="1"/>
  <c r="A380" i="13" s="1"/>
  <c r="M319" i="13"/>
  <c r="I330" i="13" s="1"/>
  <c r="M318" i="13"/>
  <c r="I329" i="13" s="1"/>
  <c r="K364" i="13" l="1"/>
  <c r="I378" i="13"/>
  <c r="G377" i="13"/>
  <c r="C378" i="13"/>
  <c r="M378" i="13" s="1"/>
  <c r="E397" i="13" s="1"/>
  <c r="K378" i="13"/>
  <c r="F377" i="13"/>
  <c r="E377" i="13"/>
  <c r="M377" i="13" s="1"/>
  <c r="E396" i="13" s="1"/>
  <c r="J377" i="13"/>
  <c r="H378" i="13"/>
  <c r="K377" i="13"/>
  <c r="L378" i="13"/>
  <c r="H377" i="13"/>
  <c r="G378" i="13"/>
  <c r="C377" i="13"/>
  <c r="J378" i="13"/>
  <c r="F378" i="13"/>
  <c r="L377" i="13"/>
  <c r="D378" i="13"/>
  <c r="E378" i="13"/>
  <c r="I377" i="13"/>
  <c r="D377" i="13"/>
  <c r="L297" i="13"/>
  <c r="L387" i="13"/>
  <c r="H387" i="13"/>
  <c r="M387" i="13" s="1"/>
  <c r="J396" i="13" s="1"/>
  <c r="C388" i="13"/>
  <c r="J387" i="13"/>
  <c r="F387" i="13"/>
  <c r="D383" i="13"/>
  <c r="E384" i="13"/>
  <c r="F384" i="13"/>
  <c r="L383" i="13"/>
  <c r="I384" i="13"/>
  <c r="K387" i="13"/>
  <c r="I388" i="13"/>
  <c r="F388" i="13"/>
  <c r="E388" i="13"/>
  <c r="C387" i="13"/>
  <c r="I331" i="13"/>
  <c r="D331" i="13"/>
  <c r="M441" i="12"/>
  <c r="I405" i="13" s="1"/>
  <c r="A420" i="13" s="1"/>
  <c r="F420" i="13" s="1"/>
  <c r="E405" i="12"/>
  <c r="L384" i="13"/>
  <c r="F383" i="13"/>
  <c r="C383" i="13"/>
  <c r="M383" i="13" s="1"/>
  <c r="H396" i="13" s="1"/>
  <c r="G383" i="13"/>
  <c r="G387" i="13"/>
  <c r="K388" i="13"/>
  <c r="J388" i="13"/>
  <c r="E387" i="13"/>
  <c r="K434" i="12"/>
  <c r="K441" i="12" s="1"/>
  <c r="G405" i="13" s="1"/>
  <c r="A416" i="13" s="1"/>
  <c r="L416" i="13" s="1"/>
  <c r="L434" i="12"/>
  <c r="L441" i="12" s="1"/>
  <c r="H405" i="13" s="1"/>
  <c r="A418" i="13" s="1"/>
  <c r="H417" i="13" s="1"/>
  <c r="J434" i="12"/>
  <c r="J441" i="12" s="1"/>
  <c r="F405" i="13" s="1"/>
  <c r="A414" i="13" s="1"/>
  <c r="K413" i="13" s="1"/>
  <c r="F331" i="13"/>
  <c r="M358" i="13"/>
  <c r="L363" i="13" s="1"/>
  <c r="M346" i="13"/>
  <c r="F363" i="13" s="1"/>
  <c r="M345" i="13"/>
  <c r="F362" i="13" s="1"/>
  <c r="F364" i="13" s="1"/>
  <c r="M350" i="13"/>
  <c r="H363" i="13" s="1"/>
  <c r="P434" i="12"/>
  <c r="P441" i="12" s="1"/>
  <c r="L405" i="13" s="1"/>
  <c r="A426" i="13" s="1"/>
  <c r="I434" i="12"/>
  <c r="I441" i="12" s="1"/>
  <c r="E405" i="13" s="1"/>
  <c r="A412" i="13" s="1"/>
  <c r="E412" i="13" s="1"/>
  <c r="M324" i="13"/>
  <c r="L329" i="13" s="1"/>
  <c r="F386" i="13"/>
  <c r="H385" i="13"/>
  <c r="I386" i="13"/>
  <c r="K385" i="13"/>
  <c r="G386" i="13"/>
  <c r="E386" i="13"/>
  <c r="C385" i="13"/>
  <c r="J385" i="13"/>
  <c r="L386" i="13"/>
  <c r="C386" i="13"/>
  <c r="H386" i="13"/>
  <c r="I385" i="13"/>
  <c r="G385" i="13"/>
  <c r="E385" i="13"/>
  <c r="K386" i="13"/>
  <c r="L385" i="13"/>
  <c r="D385" i="13"/>
  <c r="F385" i="13"/>
  <c r="J386" i="13"/>
  <c r="D386" i="13"/>
  <c r="J340" i="13"/>
  <c r="G339" i="13"/>
  <c r="D340" i="13"/>
  <c r="L339" i="13"/>
  <c r="F339" i="13"/>
  <c r="G340" i="13"/>
  <c r="I340" i="13"/>
  <c r="H339" i="13"/>
  <c r="L340" i="13"/>
  <c r="H340" i="13"/>
  <c r="C339" i="13"/>
  <c r="E340" i="13"/>
  <c r="E339" i="13"/>
  <c r="D339" i="13"/>
  <c r="J339" i="13"/>
  <c r="K339" i="13"/>
  <c r="I339" i="13"/>
  <c r="K340" i="13"/>
  <c r="C340" i="13"/>
  <c r="F340" i="13"/>
  <c r="D413" i="13"/>
  <c r="C413" i="13"/>
  <c r="I413" i="13"/>
  <c r="K414" i="13"/>
  <c r="L414" i="13"/>
  <c r="F411" i="13"/>
  <c r="H411" i="13"/>
  <c r="C412" i="13"/>
  <c r="L411" i="13"/>
  <c r="I412" i="13"/>
  <c r="D411" i="13"/>
  <c r="G412" i="13"/>
  <c r="L412" i="13"/>
  <c r="K412" i="13"/>
  <c r="J411" i="13"/>
  <c r="AF34" i="12"/>
  <c r="AF42" i="12" s="1"/>
  <c r="AF49" i="12"/>
  <c r="AF52" i="12" s="1"/>
  <c r="O485" i="12" s="1"/>
  <c r="M384" i="13"/>
  <c r="H397" i="13" s="1"/>
  <c r="G360" i="12"/>
  <c r="L3" i="12" s="1"/>
  <c r="L3" i="20" s="1"/>
  <c r="M347" i="13"/>
  <c r="G362" i="13" s="1"/>
  <c r="H331" i="13"/>
  <c r="I364" i="13"/>
  <c r="AE43" i="12"/>
  <c r="AE44" i="12"/>
  <c r="D415" i="13"/>
  <c r="G415" i="13"/>
  <c r="K416" i="13"/>
  <c r="G416" i="13"/>
  <c r="F415" i="13"/>
  <c r="I415" i="13"/>
  <c r="I416" i="13"/>
  <c r="J415" i="13"/>
  <c r="D416" i="13"/>
  <c r="C416" i="13"/>
  <c r="K415" i="13"/>
  <c r="L415" i="13"/>
  <c r="H415" i="13"/>
  <c r="C415" i="13"/>
  <c r="F416" i="13"/>
  <c r="E422" i="13"/>
  <c r="D421" i="13"/>
  <c r="C422" i="13"/>
  <c r="K421" i="13"/>
  <c r="C421" i="13"/>
  <c r="L422" i="13"/>
  <c r="J421" i="13"/>
  <c r="F421" i="13"/>
  <c r="H421" i="13"/>
  <c r="E421" i="13"/>
  <c r="H422" i="13"/>
  <c r="G422" i="13"/>
  <c r="L421" i="13"/>
  <c r="K422" i="13"/>
  <c r="I421" i="13"/>
  <c r="D422" i="13"/>
  <c r="G421" i="13"/>
  <c r="I422" i="13"/>
  <c r="J422" i="13"/>
  <c r="F422" i="13"/>
  <c r="C420" i="13"/>
  <c r="H420" i="13"/>
  <c r="E420" i="13"/>
  <c r="D419" i="13"/>
  <c r="J419" i="13"/>
  <c r="C371" i="13"/>
  <c r="A374" i="13" s="1"/>
  <c r="E412" i="12"/>
  <c r="G389" i="12" s="1"/>
  <c r="M3" i="12" s="1"/>
  <c r="M3" i="20" s="1"/>
  <c r="K479" i="12"/>
  <c r="H484" i="12" s="1"/>
  <c r="O483" i="12"/>
  <c r="E364" i="13"/>
  <c r="AG48" i="12"/>
  <c r="AG35" i="12"/>
  <c r="M353" i="13"/>
  <c r="J362" i="13" s="1"/>
  <c r="M348" i="13"/>
  <c r="G363" i="13" s="1"/>
  <c r="I376" i="13"/>
  <c r="H376" i="13"/>
  <c r="F375" i="13"/>
  <c r="J375" i="13"/>
  <c r="G375" i="13"/>
  <c r="J376" i="13"/>
  <c r="L376" i="13"/>
  <c r="C376" i="13"/>
  <c r="E376" i="13"/>
  <c r="C375" i="13"/>
  <c r="K376" i="13"/>
  <c r="G376" i="13"/>
  <c r="I375" i="13"/>
  <c r="L375" i="13"/>
  <c r="F376" i="13"/>
  <c r="K375" i="13"/>
  <c r="D375" i="13"/>
  <c r="E375" i="13"/>
  <c r="D376" i="13"/>
  <c r="H375" i="13"/>
  <c r="O434" i="12"/>
  <c r="O441" i="12" s="1"/>
  <c r="K405" i="13" s="1"/>
  <c r="A424" i="13" s="1"/>
  <c r="G441" i="12"/>
  <c r="M390" i="13"/>
  <c r="K397" i="13" s="1"/>
  <c r="M389" i="13"/>
  <c r="K396" i="13" s="1"/>
  <c r="K398" i="13" s="1"/>
  <c r="M354" i="13"/>
  <c r="J363" i="13" s="1"/>
  <c r="M357" i="13"/>
  <c r="L362" i="13" s="1"/>
  <c r="L364" i="13" s="1"/>
  <c r="K382" i="13"/>
  <c r="D382" i="13"/>
  <c r="C382" i="13"/>
  <c r="J381" i="13"/>
  <c r="G382" i="13"/>
  <c r="H381" i="13"/>
  <c r="L382" i="13"/>
  <c r="D381" i="13"/>
  <c r="L381" i="13"/>
  <c r="E381" i="13"/>
  <c r="H382" i="13"/>
  <c r="K381" i="13"/>
  <c r="J382" i="13"/>
  <c r="F381" i="13"/>
  <c r="F382" i="13"/>
  <c r="E382" i="13"/>
  <c r="G381" i="13"/>
  <c r="I382" i="13"/>
  <c r="I381" i="13"/>
  <c r="C381" i="13"/>
  <c r="G390" i="12"/>
  <c r="M4" i="12" s="1"/>
  <c r="M4" i="20" s="1"/>
  <c r="K331" i="13"/>
  <c r="E380" i="13"/>
  <c r="D379" i="13"/>
  <c r="E379" i="13"/>
  <c r="I380" i="13"/>
  <c r="C379" i="13"/>
  <c r="J379" i="13"/>
  <c r="G379" i="13"/>
  <c r="J380" i="13"/>
  <c r="K379" i="13"/>
  <c r="G380" i="13"/>
  <c r="F380" i="13"/>
  <c r="I379" i="13"/>
  <c r="K380" i="13"/>
  <c r="H379" i="13"/>
  <c r="L379" i="13"/>
  <c r="F379" i="13"/>
  <c r="D380" i="13"/>
  <c r="H380" i="13"/>
  <c r="L380" i="13"/>
  <c r="C380" i="13"/>
  <c r="K451" i="12"/>
  <c r="I455" i="12" s="1"/>
  <c r="G467" i="12" s="1"/>
  <c r="H467" i="12" s="1"/>
  <c r="I467" i="12" s="1"/>
  <c r="J467" i="12" s="1"/>
  <c r="K467" i="12" s="1"/>
  <c r="L467" i="12" s="1"/>
  <c r="M467" i="12" s="1"/>
  <c r="N467" i="12" s="1"/>
  <c r="O467" i="12" s="1"/>
  <c r="P467" i="12" s="1"/>
  <c r="P454" i="12"/>
  <c r="F409" i="13"/>
  <c r="C410" i="13"/>
  <c r="E409" i="13"/>
  <c r="E410" i="13"/>
  <c r="G409" i="13"/>
  <c r="I410" i="13"/>
  <c r="J410" i="13"/>
  <c r="H409" i="13"/>
  <c r="K409" i="13"/>
  <c r="D410" i="13"/>
  <c r="F410" i="13"/>
  <c r="I409" i="13"/>
  <c r="C409" i="13"/>
  <c r="L409" i="13"/>
  <c r="D409" i="13"/>
  <c r="L410" i="13"/>
  <c r="J409" i="13"/>
  <c r="H410" i="13"/>
  <c r="G410" i="13"/>
  <c r="K410" i="13"/>
  <c r="C417" i="13"/>
  <c r="G417" i="13"/>
  <c r="I418" i="13"/>
  <c r="J417" i="13"/>
  <c r="G418" i="13"/>
  <c r="D418" i="13"/>
  <c r="I417" i="13"/>
  <c r="K417" i="13"/>
  <c r="E417" i="13"/>
  <c r="F418" i="13"/>
  <c r="I450" i="12"/>
  <c r="G450" i="12" s="1"/>
  <c r="N463" i="12" s="1"/>
  <c r="G463" i="12"/>
  <c r="L463" i="12"/>
  <c r="L470" i="12" s="1"/>
  <c r="H439" i="13" s="1"/>
  <c r="A452" i="13" s="1"/>
  <c r="K463" i="12"/>
  <c r="D364" i="13"/>
  <c r="M306" i="13"/>
  <c r="C329" i="13" s="1"/>
  <c r="M307" i="13"/>
  <c r="C330" i="13" s="1"/>
  <c r="M349" i="13"/>
  <c r="H362" i="13" s="1"/>
  <c r="H364" i="13" s="1"/>
  <c r="L392" i="13"/>
  <c r="D391" i="13"/>
  <c r="I392" i="13"/>
  <c r="E392" i="13"/>
  <c r="J391" i="13"/>
  <c r="J392" i="13"/>
  <c r="H391" i="13"/>
  <c r="C391" i="13"/>
  <c r="K391" i="13"/>
  <c r="H392" i="13"/>
  <c r="D392" i="13"/>
  <c r="F391" i="13"/>
  <c r="L391" i="13"/>
  <c r="E391" i="13"/>
  <c r="K392" i="13"/>
  <c r="C392" i="13"/>
  <c r="F392" i="13"/>
  <c r="I391" i="13"/>
  <c r="G391" i="13"/>
  <c r="G392" i="13"/>
  <c r="M325" i="13"/>
  <c r="L330" i="13" s="1"/>
  <c r="L331" i="13" l="1"/>
  <c r="M463" i="12"/>
  <c r="M470" i="12" s="1"/>
  <c r="I439" i="13" s="1"/>
  <c r="A454" i="13" s="1"/>
  <c r="K418" i="13"/>
  <c r="E418" i="13"/>
  <c r="I419" i="13"/>
  <c r="F419" i="13"/>
  <c r="I411" i="13"/>
  <c r="D412" i="13"/>
  <c r="G411" i="13"/>
  <c r="H412" i="13"/>
  <c r="J412" i="13"/>
  <c r="L413" i="13"/>
  <c r="I414" i="13"/>
  <c r="H414" i="13"/>
  <c r="F414" i="13"/>
  <c r="J413" i="13"/>
  <c r="K470" i="12"/>
  <c r="G439" i="13" s="1"/>
  <c r="A450" i="13" s="1"/>
  <c r="K420" i="13"/>
  <c r="L419" i="13"/>
  <c r="G420" i="13"/>
  <c r="L420" i="13"/>
  <c r="C419" i="13"/>
  <c r="F413" i="13"/>
  <c r="E414" i="13"/>
  <c r="D414" i="13"/>
  <c r="J414" i="13"/>
  <c r="G414" i="13"/>
  <c r="M340" i="13"/>
  <c r="C363" i="13" s="1"/>
  <c r="N470" i="12"/>
  <c r="J439" i="13" s="1"/>
  <c r="A456" i="13" s="1"/>
  <c r="D417" i="13"/>
  <c r="H418" i="13"/>
  <c r="F417" i="13"/>
  <c r="I420" i="13"/>
  <c r="D420" i="13"/>
  <c r="G419" i="13"/>
  <c r="P463" i="12"/>
  <c r="P470" i="12" s="1"/>
  <c r="J418" i="13"/>
  <c r="L417" i="13"/>
  <c r="L418" i="13"/>
  <c r="C418" i="13"/>
  <c r="E419" i="13"/>
  <c r="J420" i="13"/>
  <c r="H419" i="13"/>
  <c r="K419" i="13"/>
  <c r="J416" i="13"/>
  <c r="E416" i="13"/>
  <c r="H416" i="13"/>
  <c r="M416" i="13" s="1"/>
  <c r="G431" i="13" s="1"/>
  <c r="E415" i="13"/>
  <c r="C411" i="13"/>
  <c r="K411" i="13"/>
  <c r="F412" i="13"/>
  <c r="M412" i="13" s="1"/>
  <c r="E431" i="13" s="1"/>
  <c r="E411" i="13"/>
  <c r="G413" i="13"/>
  <c r="H413" i="13"/>
  <c r="C414" i="13"/>
  <c r="M414" i="13" s="1"/>
  <c r="F431" i="13" s="1"/>
  <c r="E413" i="13"/>
  <c r="M388" i="13"/>
  <c r="J397" i="13" s="1"/>
  <c r="J398" i="13" s="1"/>
  <c r="C331" i="13"/>
  <c r="M380" i="13"/>
  <c r="F397" i="13" s="1"/>
  <c r="D449" i="13"/>
  <c r="L450" i="13"/>
  <c r="K450" i="13"/>
  <c r="G450" i="13"/>
  <c r="F449" i="13"/>
  <c r="H449" i="13"/>
  <c r="K449" i="13"/>
  <c r="E449" i="13"/>
  <c r="D450" i="13"/>
  <c r="C449" i="13"/>
  <c r="I449" i="13"/>
  <c r="G449" i="13"/>
  <c r="E450" i="13"/>
  <c r="L449" i="13"/>
  <c r="I450" i="13"/>
  <c r="C450" i="13"/>
  <c r="J449" i="13"/>
  <c r="F450" i="13"/>
  <c r="J450" i="13"/>
  <c r="H450" i="13"/>
  <c r="L439" i="13"/>
  <c r="A460" i="13" s="1"/>
  <c r="G470" i="12"/>
  <c r="M417" i="13"/>
  <c r="H430" i="13" s="1"/>
  <c r="M410" i="13"/>
  <c r="D431" i="13" s="1"/>
  <c r="G424" i="13"/>
  <c r="H424" i="13"/>
  <c r="E423" i="13"/>
  <c r="G423" i="13"/>
  <c r="H423" i="13"/>
  <c r="E424" i="13"/>
  <c r="F424" i="13"/>
  <c r="K423" i="13"/>
  <c r="J423" i="13"/>
  <c r="C424" i="13"/>
  <c r="D424" i="13"/>
  <c r="C423" i="13"/>
  <c r="K424" i="13"/>
  <c r="L424" i="13"/>
  <c r="I423" i="13"/>
  <c r="J424" i="13"/>
  <c r="L423" i="13"/>
  <c r="I424" i="13"/>
  <c r="F423" i="13"/>
  <c r="D423" i="13"/>
  <c r="J364" i="13"/>
  <c r="M413" i="13"/>
  <c r="F430" i="13" s="1"/>
  <c r="D453" i="13"/>
  <c r="E453" i="13"/>
  <c r="H454" i="13"/>
  <c r="I454" i="13"/>
  <c r="F453" i="13"/>
  <c r="C454" i="13"/>
  <c r="H453" i="13"/>
  <c r="G453" i="13"/>
  <c r="F454" i="13"/>
  <c r="D454" i="13"/>
  <c r="G454" i="13"/>
  <c r="L453" i="13"/>
  <c r="K453" i="13"/>
  <c r="L454" i="13"/>
  <c r="E454" i="13"/>
  <c r="J453" i="13"/>
  <c r="C453" i="13"/>
  <c r="J454" i="13"/>
  <c r="I453" i="13"/>
  <c r="K454" i="13"/>
  <c r="D452" i="13"/>
  <c r="H451" i="13"/>
  <c r="I451" i="13"/>
  <c r="C451" i="13"/>
  <c r="H452" i="13"/>
  <c r="K452" i="13"/>
  <c r="F452" i="13"/>
  <c r="I452" i="13"/>
  <c r="G452" i="13"/>
  <c r="C452" i="13"/>
  <c r="L451" i="13"/>
  <c r="E451" i="13"/>
  <c r="K451" i="13"/>
  <c r="E452" i="13"/>
  <c r="J452" i="13"/>
  <c r="L452" i="13"/>
  <c r="J451" i="13"/>
  <c r="F451" i="13"/>
  <c r="G451" i="13"/>
  <c r="D451" i="13"/>
  <c r="E455" i="13"/>
  <c r="D456" i="13"/>
  <c r="J456" i="13"/>
  <c r="K455" i="13"/>
  <c r="F456" i="13"/>
  <c r="F455" i="13"/>
  <c r="C456" i="13"/>
  <c r="I455" i="13"/>
  <c r="C455" i="13"/>
  <c r="L456" i="13"/>
  <c r="H455" i="13"/>
  <c r="I456" i="13"/>
  <c r="L455" i="13"/>
  <c r="H456" i="13"/>
  <c r="G455" i="13"/>
  <c r="D455" i="13"/>
  <c r="J455" i="13"/>
  <c r="K456" i="13"/>
  <c r="E456" i="13"/>
  <c r="G456" i="13"/>
  <c r="M409" i="13"/>
  <c r="D430" i="13" s="1"/>
  <c r="D432" i="13" s="1"/>
  <c r="M375" i="13"/>
  <c r="D396" i="13" s="1"/>
  <c r="AG34" i="12"/>
  <c r="AG49" i="12"/>
  <c r="AG52" i="12" s="1"/>
  <c r="AG42" i="12"/>
  <c r="G374" i="13"/>
  <c r="I373" i="13"/>
  <c r="I374" i="13"/>
  <c r="F374" i="13"/>
  <c r="J373" i="13"/>
  <c r="L373" i="13"/>
  <c r="G373" i="13"/>
  <c r="H373" i="13"/>
  <c r="C373" i="13"/>
  <c r="H374" i="13"/>
  <c r="J374" i="13"/>
  <c r="L374" i="13"/>
  <c r="C374" i="13"/>
  <c r="K374" i="13"/>
  <c r="K373" i="13"/>
  <c r="E373" i="13"/>
  <c r="E374" i="13"/>
  <c r="D373" i="13"/>
  <c r="F373" i="13"/>
  <c r="D374" i="13"/>
  <c r="M421" i="13"/>
  <c r="J430" i="13" s="1"/>
  <c r="E398" i="13"/>
  <c r="AF44" i="12"/>
  <c r="AF43" i="12"/>
  <c r="M339" i="13"/>
  <c r="C362" i="13" s="1"/>
  <c r="C364" i="13" s="1"/>
  <c r="M385" i="13"/>
  <c r="I396" i="13" s="1"/>
  <c r="M392" i="13"/>
  <c r="L397" i="13" s="1"/>
  <c r="M391" i="13"/>
  <c r="L396" i="13" s="1"/>
  <c r="L398" i="13" s="1"/>
  <c r="H463" i="12"/>
  <c r="H470" i="12" s="1"/>
  <c r="D439" i="13" s="1"/>
  <c r="A444" i="13" s="1"/>
  <c r="J463" i="12"/>
  <c r="J470" i="12" s="1"/>
  <c r="F439" i="13" s="1"/>
  <c r="A448" i="13" s="1"/>
  <c r="M418" i="13"/>
  <c r="H431" i="13" s="1"/>
  <c r="M381" i="13"/>
  <c r="G396" i="13" s="1"/>
  <c r="E434" i="12"/>
  <c r="M420" i="13"/>
  <c r="I431" i="13" s="1"/>
  <c r="H398" i="13"/>
  <c r="H425" i="13"/>
  <c r="D426" i="13"/>
  <c r="F425" i="13"/>
  <c r="G426" i="13"/>
  <c r="G425" i="13"/>
  <c r="E426" i="13"/>
  <c r="L425" i="13"/>
  <c r="E425" i="13"/>
  <c r="H426" i="13"/>
  <c r="I425" i="13"/>
  <c r="K426" i="13"/>
  <c r="C425" i="13"/>
  <c r="L426" i="13"/>
  <c r="J425" i="13"/>
  <c r="C426" i="13"/>
  <c r="J426" i="13"/>
  <c r="I426" i="13"/>
  <c r="K425" i="13"/>
  <c r="F426" i="13"/>
  <c r="D425" i="13"/>
  <c r="M386" i="13"/>
  <c r="I397" i="13" s="1"/>
  <c r="I463" i="12"/>
  <c r="I470" i="12" s="1"/>
  <c r="E439" i="13" s="1"/>
  <c r="A446" i="13" s="1"/>
  <c r="O463" i="12"/>
  <c r="O470" i="12" s="1"/>
  <c r="K439" i="13" s="1"/>
  <c r="A458" i="13" s="1"/>
  <c r="M379" i="13"/>
  <c r="F396" i="13" s="1"/>
  <c r="F398" i="13" s="1"/>
  <c r="M382" i="13"/>
  <c r="G397" i="13" s="1"/>
  <c r="E441" i="12"/>
  <c r="G418" i="12" s="1"/>
  <c r="N3" i="12" s="1"/>
  <c r="N3" i="20" s="1"/>
  <c r="C405" i="13"/>
  <c r="A408" i="13" s="1"/>
  <c r="M376" i="13"/>
  <c r="D397" i="13" s="1"/>
  <c r="I479" i="12"/>
  <c r="G479" i="12" s="1"/>
  <c r="N492" i="12" s="1"/>
  <c r="G492" i="12"/>
  <c r="M419" i="13"/>
  <c r="I430" i="13" s="1"/>
  <c r="I432" i="13" s="1"/>
  <c r="M422" i="13"/>
  <c r="J431" i="13" s="1"/>
  <c r="M415" i="13"/>
  <c r="G430" i="13" s="1"/>
  <c r="G364" i="13"/>
  <c r="P483" i="12"/>
  <c r="K480" i="12"/>
  <c r="I484" i="12" s="1"/>
  <c r="G496" i="12" s="1"/>
  <c r="H496" i="12" s="1"/>
  <c r="I496" i="12" s="1"/>
  <c r="J496" i="12" s="1"/>
  <c r="K496" i="12" s="1"/>
  <c r="L496" i="12" s="1"/>
  <c r="M496" i="12" s="1"/>
  <c r="N496" i="12" s="1"/>
  <c r="O496" i="12" s="1"/>
  <c r="P496" i="12" s="1"/>
  <c r="G419" i="12"/>
  <c r="N4" i="12" s="1"/>
  <c r="N4" i="20" s="1"/>
  <c r="G432" i="13" l="1"/>
  <c r="P492" i="12"/>
  <c r="M411" i="13"/>
  <c r="E430" i="13" s="1"/>
  <c r="E432" i="13" s="1"/>
  <c r="O492" i="12"/>
  <c r="H492" i="12"/>
  <c r="H499" i="12" s="1"/>
  <c r="D472" i="13" s="1"/>
  <c r="A477" i="13" s="1"/>
  <c r="L492" i="12"/>
  <c r="L499" i="12" s="1"/>
  <c r="H472" i="13" s="1"/>
  <c r="A485" i="13" s="1"/>
  <c r="O499" i="12"/>
  <c r="K472" i="13" s="1"/>
  <c r="A491" i="13" s="1"/>
  <c r="G491" i="13" s="1"/>
  <c r="N499" i="12"/>
  <c r="J472" i="13" s="1"/>
  <c r="A489" i="13" s="1"/>
  <c r="M453" i="13"/>
  <c r="I464" i="13" s="1"/>
  <c r="P499" i="12"/>
  <c r="K492" i="12"/>
  <c r="K499" i="12" s="1"/>
  <c r="G472" i="13" s="1"/>
  <c r="A483" i="13" s="1"/>
  <c r="F482" i="13" s="1"/>
  <c r="L484" i="13"/>
  <c r="I484" i="13"/>
  <c r="G485" i="13"/>
  <c r="F485" i="13"/>
  <c r="K485" i="13"/>
  <c r="J484" i="13"/>
  <c r="H484" i="13"/>
  <c r="C484" i="13"/>
  <c r="J485" i="13"/>
  <c r="D484" i="13"/>
  <c r="L485" i="13"/>
  <c r="G484" i="13"/>
  <c r="E484" i="13"/>
  <c r="F484" i="13"/>
  <c r="K484" i="13"/>
  <c r="D485" i="13"/>
  <c r="I485" i="13"/>
  <c r="E485" i="13"/>
  <c r="H485" i="13"/>
  <c r="C485" i="13"/>
  <c r="J489" i="13"/>
  <c r="G489" i="13"/>
  <c r="D489" i="13"/>
  <c r="D488" i="13"/>
  <c r="L488" i="13"/>
  <c r="C488" i="13"/>
  <c r="J488" i="13"/>
  <c r="L489" i="13"/>
  <c r="I489" i="13"/>
  <c r="E488" i="13"/>
  <c r="F489" i="13"/>
  <c r="F488" i="13"/>
  <c r="G488" i="13"/>
  <c r="K489" i="13"/>
  <c r="K488" i="13"/>
  <c r="C489" i="13"/>
  <c r="E489" i="13"/>
  <c r="H488" i="13"/>
  <c r="H489" i="13"/>
  <c r="I488" i="13"/>
  <c r="G398" i="13"/>
  <c r="M455" i="13"/>
  <c r="J464" i="13" s="1"/>
  <c r="M424" i="13"/>
  <c r="K431" i="13" s="1"/>
  <c r="E463" i="12"/>
  <c r="M450" i="13"/>
  <c r="G465" i="13" s="1"/>
  <c r="J492" i="12"/>
  <c r="J499" i="12" s="1"/>
  <c r="F472" i="13" s="1"/>
  <c r="A481" i="13" s="1"/>
  <c r="M492" i="12"/>
  <c r="M499" i="12" s="1"/>
  <c r="I472" i="13" s="1"/>
  <c r="A487" i="13" s="1"/>
  <c r="M425" i="13"/>
  <c r="L430" i="13" s="1"/>
  <c r="M451" i="13"/>
  <c r="H464" i="13" s="1"/>
  <c r="F432" i="13"/>
  <c r="E470" i="12"/>
  <c r="C439" i="13"/>
  <c r="A442" i="13" s="1"/>
  <c r="G499" i="12"/>
  <c r="I492" i="12"/>
  <c r="I499" i="12" s="1"/>
  <c r="E472" i="13" s="1"/>
  <c r="A479" i="13" s="1"/>
  <c r="E407" i="13"/>
  <c r="H407" i="13"/>
  <c r="F407" i="13"/>
  <c r="L408" i="13"/>
  <c r="L407" i="13"/>
  <c r="J407" i="13"/>
  <c r="G407" i="13"/>
  <c r="F408" i="13"/>
  <c r="K407" i="13"/>
  <c r="E408" i="13"/>
  <c r="C407" i="13"/>
  <c r="I407" i="13"/>
  <c r="G408" i="13"/>
  <c r="K408" i="13"/>
  <c r="C408" i="13"/>
  <c r="D408" i="13"/>
  <c r="J408" i="13"/>
  <c r="H408" i="13"/>
  <c r="I408" i="13"/>
  <c r="D407" i="13"/>
  <c r="H458" i="13"/>
  <c r="C458" i="13"/>
  <c r="D458" i="13"/>
  <c r="F458" i="13"/>
  <c r="J457" i="13"/>
  <c r="D457" i="13"/>
  <c r="F457" i="13"/>
  <c r="E458" i="13"/>
  <c r="H457" i="13"/>
  <c r="G458" i="13"/>
  <c r="K457" i="13"/>
  <c r="I458" i="13"/>
  <c r="I457" i="13"/>
  <c r="G457" i="13"/>
  <c r="L457" i="13"/>
  <c r="E457" i="13"/>
  <c r="L458" i="13"/>
  <c r="C457" i="13"/>
  <c r="J458" i="13"/>
  <c r="K458" i="13"/>
  <c r="M426" i="13"/>
  <c r="L431" i="13" s="1"/>
  <c r="F447" i="13"/>
  <c r="H448" i="13"/>
  <c r="C448" i="13"/>
  <c r="G448" i="13"/>
  <c r="J448" i="13"/>
  <c r="L447" i="13"/>
  <c r="D448" i="13"/>
  <c r="F448" i="13"/>
  <c r="I447" i="13"/>
  <c r="D447" i="13"/>
  <c r="E448" i="13"/>
  <c r="J447" i="13"/>
  <c r="K447" i="13"/>
  <c r="G447" i="13"/>
  <c r="K448" i="13"/>
  <c r="E447" i="13"/>
  <c r="L448" i="13"/>
  <c r="H447" i="13"/>
  <c r="I448" i="13"/>
  <c r="C447" i="13"/>
  <c r="I398" i="13"/>
  <c r="AG44" i="12"/>
  <c r="AG43" i="12"/>
  <c r="M456" i="13"/>
  <c r="J465" i="13" s="1"/>
  <c r="M423" i="13"/>
  <c r="K430" i="13" s="1"/>
  <c r="K432" i="13" s="1"/>
  <c r="G448" i="12"/>
  <c r="O4" i="12" s="1"/>
  <c r="O4" i="20" s="1"/>
  <c r="M449" i="13"/>
  <c r="G464" i="13" s="1"/>
  <c r="G466" i="13" s="1"/>
  <c r="C477" i="13"/>
  <c r="G476" i="13"/>
  <c r="K476" i="13"/>
  <c r="K477" i="13"/>
  <c r="H477" i="13"/>
  <c r="F476" i="13"/>
  <c r="E477" i="13"/>
  <c r="J477" i="13"/>
  <c r="D476" i="13"/>
  <c r="J476" i="13"/>
  <c r="I476" i="13"/>
  <c r="D477" i="13"/>
  <c r="L476" i="13"/>
  <c r="H476" i="13"/>
  <c r="L477" i="13"/>
  <c r="E476" i="13"/>
  <c r="F477" i="13"/>
  <c r="G477" i="13"/>
  <c r="C476" i="13"/>
  <c r="I477" i="13"/>
  <c r="C483" i="13"/>
  <c r="H482" i="13"/>
  <c r="G483" i="13"/>
  <c r="E483" i="13"/>
  <c r="G482" i="13"/>
  <c r="G477" i="12"/>
  <c r="P4" i="12" s="1"/>
  <c r="P4" i="20" s="1"/>
  <c r="L472" i="13"/>
  <c r="A493" i="13" s="1"/>
  <c r="J445" i="13"/>
  <c r="I446" i="13"/>
  <c r="D446" i="13"/>
  <c r="I445" i="13"/>
  <c r="K445" i="13"/>
  <c r="L445" i="13"/>
  <c r="C445" i="13"/>
  <c r="H446" i="13"/>
  <c r="K446" i="13"/>
  <c r="F446" i="13"/>
  <c r="G446" i="13"/>
  <c r="D445" i="13"/>
  <c r="E446" i="13"/>
  <c r="C446" i="13"/>
  <c r="L446" i="13"/>
  <c r="G445" i="13"/>
  <c r="E445" i="13"/>
  <c r="J446" i="13"/>
  <c r="H445" i="13"/>
  <c r="F445" i="13"/>
  <c r="L443" i="13"/>
  <c r="C443" i="13"/>
  <c r="K443" i="13"/>
  <c r="F444" i="13"/>
  <c r="J444" i="13"/>
  <c r="H444" i="13"/>
  <c r="J443" i="13"/>
  <c r="E443" i="13"/>
  <c r="D443" i="13"/>
  <c r="F443" i="13"/>
  <c r="I444" i="13"/>
  <c r="D444" i="13"/>
  <c r="H443" i="13"/>
  <c r="G443" i="13"/>
  <c r="C444" i="13"/>
  <c r="E444" i="13"/>
  <c r="G444" i="13"/>
  <c r="L444" i="13"/>
  <c r="K444" i="13"/>
  <c r="I443" i="13"/>
  <c r="J432" i="13"/>
  <c r="M374" i="13"/>
  <c r="C397" i="13" s="1"/>
  <c r="M373" i="13"/>
  <c r="C396" i="13" s="1"/>
  <c r="D398" i="13"/>
  <c r="M452" i="13"/>
  <c r="H465" i="13" s="1"/>
  <c r="M454" i="13"/>
  <c r="I465" i="13" s="1"/>
  <c r="I466" i="13" s="1"/>
  <c r="H432" i="13"/>
  <c r="D460" i="13"/>
  <c r="H459" i="13"/>
  <c r="G460" i="13"/>
  <c r="H460" i="13"/>
  <c r="I460" i="13"/>
  <c r="I459" i="13"/>
  <c r="K460" i="13"/>
  <c r="F459" i="13"/>
  <c r="E459" i="13"/>
  <c r="C459" i="13"/>
  <c r="L460" i="13"/>
  <c r="J460" i="13"/>
  <c r="F460" i="13"/>
  <c r="L459" i="13"/>
  <c r="C460" i="13"/>
  <c r="J459" i="13"/>
  <c r="K459" i="13"/>
  <c r="E460" i="13"/>
  <c r="G459" i="13"/>
  <c r="D459" i="13"/>
  <c r="C482" i="13" l="1"/>
  <c r="G447" i="12"/>
  <c r="O3" i="12" s="1"/>
  <c r="O3" i="20" s="1"/>
  <c r="C491" i="13"/>
  <c r="J491" i="13"/>
  <c r="J490" i="13"/>
  <c r="L491" i="13"/>
  <c r="F490" i="13"/>
  <c r="L482" i="13"/>
  <c r="D482" i="13"/>
  <c r="F483" i="13"/>
  <c r="K483" i="13"/>
  <c r="J483" i="13"/>
  <c r="H483" i="13"/>
  <c r="E482" i="13"/>
  <c r="J482" i="13"/>
  <c r="K482" i="13"/>
  <c r="M482" i="13" s="1"/>
  <c r="G497" i="13" s="1"/>
  <c r="H491" i="13"/>
  <c r="I490" i="13"/>
  <c r="K490" i="13"/>
  <c r="E490" i="13"/>
  <c r="M490" i="13" s="1"/>
  <c r="K497" i="13" s="1"/>
  <c r="K491" i="13"/>
  <c r="F491" i="13"/>
  <c r="G490" i="13"/>
  <c r="H490" i="13"/>
  <c r="I491" i="13"/>
  <c r="L490" i="13"/>
  <c r="D483" i="13"/>
  <c r="I483" i="13"/>
  <c r="M483" i="13" s="1"/>
  <c r="G498" i="13" s="1"/>
  <c r="L483" i="13"/>
  <c r="I482" i="13"/>
  <c r="D490" i="13"/>
  <c r="E491" i="13"/>
  <c r="M491" i="13" s="1"/>
  <c r="K498" i="13" s="1"/>
  <c r="C490" i="13"/>
  <c r="D491" i="13"/>
  <c r="M476" i="13"/>
  <c r="D497" i="13" s="1"/>
  <c r="M408" i="13"/>
  <c r="C431" i="13" s="1"/>
  <c r="M407" i="13"/>
  <c r="C430" i="13" s="1"/>
  <c r="C432" i="13" s="1"/>
  <c r="C472" i="13"/>
  <c r="A475" i="13" s="1"/>
  <c r="E499" i="12"/>
  <c r="C481" i="13"/>
  <c r="K480" i="13"/>
  <c r="G481" i="13"/>
  <c r="C480" i="13"/>
  <c r="D480" i="13"/>
  <c r="K481" i="13"/>
  <c r="D481" i="13"/>
  <c r="E481" i="13"/>
  <c r="E480" i="13"/>
  <c r="J481" i="13"/>
  <c r="H480" i="13"/>
  <c r="G480" i="13"/>
  <c r="I480" i="13"/>
  <c r="J480" i="13"/>
  <c r="F481" i="13"/>
  <c r="L480" i="13"/>
  <c r="L481" i="13"/>
  <c r="H481" i="13"/>
  <c r="I481" i="13"/>
  <c r="F480" i="13"/>
  <c r="M489" i="13"/>
  <c r="J498" i="13" s="1"/>
  <c r="M485" i="13"/>
  <c r="H498" i="13" s="1"/>
  <c r="M484" i="13"/>
  <c r="H497" i="13" s="1"/>
  <c r="H499" i="13" s="1"/>
  <c r="M460" i="13"/>
  <c r="L465" i="13" s="1"/>
  <c r="D493" i="13"/>
  <c r="H493" i="13"/>
  <c r="E492" i="13"/>
  <c r="K492" i="13"/>
  <c r="L492" i="13"/>
  <c r="E493" i="13"/>
  <c r="D492" i="13"/>
  <c r="L493" i="13"/>
  <c r="F493" i="13"/>
  <c r="I493" i="13"/>
  <c r="C493" i="13"/>
  <c r="J492" i="13"/>
  <c r="G493" i="13"/>
  <c r="F492" i="13"/>
  <c r="I492" i="13"/>
  <c r="G492" i="13"/>
  <c r="J493" i="13"/>
  <c r="K493" i="13"/>
  <c r="C492" i="13"/>
  <c r="H492" i="13"/>
  <c r="M457" i="13"/>
  <c r="K464" i="13" s="1"/>
  <c r="M458" i="13"/>
  <c r="K465" i="13" s="1"/>
  <c r="E492" i="12"/>
  <c r="H466" i="13"/>
  <c r="M459" i="13"/>
  <c r="L464" i="13" s="1"/>
  <c r="C398" i="13"/>
  <c r="M444" i="13"/>
  <c r="D465" i="13" s="1"/>
  <c r="M445" i="13"/>
  <c r="E464" i="13" s="1"/>
  <c r="M477" i="13"/>
  <c r="D498" i="13" s="1"/>
  <c r="M447" i="13"/>
  <c r="F464" i="13" s="1"/>
  <c r="L441" i="13"/>
  <c r="E442" i="13"/>
  <c r="F442" i="13"/>
  <c r="F441" i="13"/>
  <c r="I442" i="13"/>
  <c r="I441" i="13"/>
  <c r="H441" i="13"/>
  <c r="C441" i="13"/>
  <c r="K442" i="13"/>
  <c r="D442" i="13"/>
  <c r="J442" i="13"/>
  <c r="G442" i="13"/>
  <c r="K441" i="13"/>
  <c r="G441" i="13"/>
  <c r="H442" i="13"/>
  <c r="L442" i="13"/>
  <c r="J441" i="13"/>
  <c r="C442" i="13"/>
  <c r="E441" i="13"/>
  <c r="D441" i="13"/>
  <c r="L432" i="13"/>
  <c r="J466" i="13"/>
  <c r="M488" i="13"/>
  <c r="J497" i="13" s="1"/>
  <c r="J499" i="13" s="1"/>
  <c r="M443" i="13"/>
  <c r="D464" i="13" s="1"/>
  <c r="D466" i="13" s="1"/>
  <c r="M446" i="13"/>
  <c r="E465" i="13" s="1"/>
  <c r="M448" i="13"/>
  <c r="F465" i="13" s="1"/>
  <c r="J478" i="13"/>
  <c r="G479" i="13"/>
  <c r="K478" i="13"/>
  <c r="I479" i="13"/>
  <c r="H479" i="13"/>
  <c r="C479" i="13"/>
  <c r="C478" i="13"/>
  <c r="J479" i="13"/>
  <c r="H478" i="13"/>
  <c r="F478" i="13"/>
  <c r="E479" i="13"/>
  <c r="K479" i="13"/>
  <c r="D478" i="13"/>
  <c r="L478" i="13"/>
  <c r="E478" i="13"/>
  <c r="G478" i="13"/>
  <c r="F479" i="13"/>
  <c r="D479" i="13"/>
  <c r="L479" i="13"/>
  <c r="I478" i="13"/>
  <c r="K487" i="13"/>
  <c r="L487" i="13"/>
  <c r="J486" i="13"/>
  <c r="H486" i="13"/>
  <c r="D486" i="13"/>
  <c r="F487" i="13"/>
  <c r="C486" i="13"/>
  <c r="E487" i="13"/>
  <c r="C487" i="13"/>
  <c r="D487" i="13"/>
  <c r="K486" i="13"/>
  <c r="F486" i="13"/>
  <c r="I487" i="13"/>
  <c r="L486" i="13"/>
  <c r="J487" i="13"/>
  <c r="I486" i="13"/>
  <c r="H487" i="13"/>
  <c r="G486" i="13"/>
  <c r="G487" i="13"/>
  <c r="E486" i="13"/>
  <c r="G499" i="13" l="1"/>
  <c r="K499" i="13"/>
  <c r="M492" i="13"/>
  <c r="L497" i="13" s="1"/>
  <c r="M442" i="13"/>
  <c r="C465" i="13" s="1"/>
  <c r="L466" i="13"/>
  <c r="D499" i="13"/>
  <c r="M486" i="13"/>
  <c r="I497" i="13" s="1"/>
  <c r="M478" i="13"/>
  <c r="E497" i="13" s="1"/>
  <c r="E466" i="13"/>
  <c r="E474" i="13"/>
  <c r="G475" i="13"/>
  <c r="G474" i="13"/>
  <c r="I475" i="13"/>
  <c r="L474" i="13"/>
  <c r="C474" i="13"/>
  <c r="J475" i="13"/>
  <c r="D475" i="13"/>
  <c r="C475" i="13"/>
  <c r="L475" i="13"/>
  <c r="I474" i="13"/>
  <c r="K475" i="13"/>
  <c r="F474" i="13"/>
  <c r="J474" i="13"/>
  <c r="E475" i="13"/>
  <c r="F475" i="13"/>
  <c r="D474" i="13"/>
  <c r="H474" i="13"/>
  <c r="H475" i="13"/>
  <c r="K474" i="13"/>
  <c r="M479" i="13"/>
  <c r="E498" i="13" s="1"/>
  <c r="M441" i="13"/>
  <c r="C464" i="13" s="1"/>
  <c r="F466" i="13"/>
  <c r="M487" i="13"/>
  <c r="I498" i="13" s="1"/>
  <c r="M493" i="13"/>
  <c r="L498" i="13" s="1"/>
  <c r="M481" i="13"/>
  <c r="F498" i="13" s="1"/>
  <c r="K466" i="13"/>
  <c r="M480" i="13"/>
  <c r="F497" i="13" s="1"/>
  <c r="G476" i="12"/>
  <c r="P3" i="12" s="1"/>
  <c r="P3" i="20" s="1"/>
  <c r="L499" i="13" l="1"/>
  <c r="C466" i="13"/>
  <c r="F499" i="13"/>
  <c r="M475" i="13"/>
  <c r="C498" i="13" s="1"/>
  <c r="E499" i="13"/>
  <c r="M474" i="13"/>
  <c r="C497" i="13" s="1"/>
  <c r="I499" i="13"/>
  <c r="C499" i="1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тс</author>
  </authors>
  <commentList>
    <comment ref="F7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из статистики</t>
        </r>
      </text>
    </comment>
    <comment ref="S33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до 2017-го года РЕТРО</t>
        </r>
      </text>
    </comment>
    <comment ref="F35" authorId="0" shapeId="0" xr:uid="{00000000-0006-0000-0200-00000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2) это ссылка</t>
        </r>
      </text>
    </comment>
    <comment ref="D48" authorId="1" shapeId="0" xr:uid="{00000000-0006-0000-0200-000004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норматив раздела оплаты труда между бюджетной и рыночной сферой.
Надо сделать по годам ряд, т.к. каждый год условия для бизнеса меняются
</t>
        </r>
      </text>
    </comment>
    <comment ref="F48" authorId="0" shapeId="0" xr:uid="{00000000-0006-0000-0200-00000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зависит от доли нормы разделения</t>
        </r>
      </text>
    </comment>
    <comment ref="M54" authorId="0" shapeId="0" xr:uid="{00000000-0006-0000-0200-000006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56" authorId="1" shapeId="0" xr:uid="{00000000-0006-0000-0200-000007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57" authorId="0" shapeId="0" xr:uid="{00000000-0006-0000-0200-00000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57" authorId="0" shapeId="0" xr:uid="{00000000-0006-0000-0200-00000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58" authorId="0" shapeId="0" xr:uid="{00000000-0006-0000-0200-00000A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59" authorId="0" shapeId="0" xr:uid="{00000000-0006-0000-0200-00000B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60" authorId="0" shapeId="0" xr:uid="{00000000-0006-0000-0200-00000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O62" authorId="0" shapeId="0" xr:uid="{00000000-0006-0000-0200-00000D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текущему году (2016)</t>
        </r>
      </text>
    </comment>
    <comment ref="L64" authorId="1" shapeId="0" xr:uid="{00000000-0006-0000-0200-00000E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65" authorId="0" shapeId="0" xr:uid="{00000000-0006-0000-0200-00000F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84" authorId="0" shapeId="0" xr:uid="{00000000-0006-0000-0200-000010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87" authorId="1" shapeId="0" xr:uid="{00000000-0006-0000-0200-000011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88" authorId="0" shapeId="0" xr:uid="{00000000-0006-0000-0200-000012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88" authorId="0" shapeId="0" xr:uid="{00000000-0006-0000-0200-00001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89" authorId="0" shapeId="0" xr:uid="{00000000-0006-0000-0200-00001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90" authorId="0" shapeId="0" xr:uid="{00000000-0006-0000-0200-00001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91" authorId="0" shapeId="0" xr:uid="{00000000-0006-0000-0200-000016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O93" authorId="0" shapeId="0" xr:uid="{00000000-0006-0000-0200-000017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текущему году (2016)</t>
        </r>
      </text>
    </comment>
    <comment ref="L95" authorId="1" shapeId="0" xr:uid="{00000000-0006-0000-0200-000018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96" authorId="0" shapeId="0" xr:uid="{00000000-0006-0000-0200-00001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117" authorId="0" shapeId="0" xr:uid="{00000000-0006-0000-0200-00001A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120" authorId="1" shapeId="0" xr:uid="{00000000-0006-0000-0200-00001B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121" authorId="0" shapeId="0" xr:uid="{00000000-0006-0000-0200-00001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121" authorId="0" shapeId="0" xr:uid="{00000000-0006-0000-0200-00001D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122" authorId="0" shapeId="0" xr:uid="{00000000-0006-0000-0200-00001E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123" authorId="0" shapeId="0" xr:uid="{00000000-0006-0000-0200-00001F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124" authorId="0" shapeId="0" xr:uid="{00000000-0006-0000-0200-000020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O126" authorId="0" shapeId="0" xr:uid="{00000000-0006-0000-0200-00002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текущему году (2016)</t>
        </r>
      </text>
    </comment>
    <comment ref="L128" authorId="1" shapeId="0" xr:uid="{00000000-0006-0000-0200-000022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129" authorId="0" shapeId="0" xr:uid="{00000000-0006-0000-0200-00002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G153" authorId="1" shapeId="0" xr:uid="{00000000-0006-0000-0200-000024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154" authorId="0" shapeId="0" xr:uid="{00000000-0006-0000-0200-00002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154" authorId="0" shapeId="0" xr:uid="{00000000-0006-0000-0200-000026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155" authorId="0" shapeId="0" xr:uid="{00000000-0006-0000-0200-000027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156" authorId="0" shapeId="0" xr:uid="{00000000-0006-0000-0200-00002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157" authorId="0" shapeId="0" xr:uid="{00000000-0006-0000-0200-00002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L161" authorId="1" shapeId="0" xr:uid="{00000000-0006-0000-0200-00002A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162" authorId="0" shapeId="0" xr:uid="{00000000-0006-0000-0200-00002B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182" authorId="0" shapeId="0" xr:uid="{00000000-0006-0000-0200-00002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185" authorId="1" shapeId="0" xr:uid="{00000000-0006-0000-0200-00002D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186" authorId="0" shapeId="0" xr:uid="{00000000-0006-0000-0200-00002E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186" authorId="0" shapeId="0" xr:uid="{00000000-0006-0000-0200-00002F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187" authorId="0" shapeId="0" xr:uid="{00000000-0006-0000-0200-000030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188" authorId="0" shapeId="0" xr:uid="{00000000-0006-0000-0200-00003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189" authorId="0" shapeId="0" xr:uid="{00000000-0006-0000-0200-000032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L193" authorId="1" shapeId="0" xr:uid="{00000000-0006-0000-0200-000033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194" authorId="0" shapeId="0" xr:uid="{00000000-0006-0000-0200-00003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214" authorId="0" shapeId="0" xr:uid="{00000000-0006-0000-0200-00003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216" authorId="1" shapeId="0" xr:uid="{00000000-0006-0000-0200-000036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224" authorId="1" shapeId="0" xr:uid="{00000000-0006-0000-0200-000037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225" authorId="0" shapeId="0" xr:uid="{00000000-0006-0000-0200-00003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243" authorId="0" shapeId="0" xr:uid="{00000000-0006-0000-0200-00003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245" authorId="1" shapeId="0" xr:uid="{00000000-0006-0000-0200-00003A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253" authorId="1" shapeId="0" xr:uid="{00000000-0006-0000-0200-00003B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254" authorId="0" shapeId="0" xr:uid="{00000000-0006-0000-0200-00003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271" authorId="0" shapeId="0" xr:uid="{00000000-0006-0000-0200-00003D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273" authorId="1" shapeId="0" xr:uid="{00000000-0006-0000-0200-00003E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281" authorId="1" shapeId="0" xr:uid="{00000000-0006-0000-0200-00003F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282" authorId="0" shapeId="0" xr:uid="{00000000-0006-0000-0200-000040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300" authorId="0" shapeId="0" xr:uid="{00000000-0006-0000-0200-00004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302" authorId="1" shapeId="0" xr:uid="{00000000-0006-0000-0200-000042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310" authorId="1" shapeId="0" xr:uid="{00000000-0006-0000-0200-000043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311" authorId="0" shapeId="0" xr:uid="{00000000-0006-0000-0200-00004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329" authorId="0" shapeId="0" xr:uid="{00000000-0006-0000-0200-00004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331" authorId="1" shapeId="0" xr:uid="{00000000-0006-0000-0200-000046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339" authorId="1" shapeId="0" xr:uid="{00000000-0006-0000-0200-000047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340" authorId="0" shapeId="0" xr:uid="{00000000-0006-0000-0200-00004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358" authorId="0" shapeId="0" xr:uid="{00000000-0006-0000-0200-00004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360" authorId="1" shapeId="0" xr:uid="{00000000-0006-0000-0200-00004A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368" authorId="1" shapeId="0" xr:uid="{00000000-0006-0000-0200-00004B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369" authorId="0" shapeId="0" xr:uid="{00000000-0006-0000-0200-00004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387" authorId="0" shapeId="0" xr:uid="{00000000-0006-0000-0200-00004D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389" authorId="1" shapeId="0" xr:uid="{00000000-0006-0000-0200-00004E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397" authorId="1" shapeId="0" xr:uid="{00000000-0006-0000-0200-00004F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398" authorId="0" shapeId="0" xr:uid="{00000000-0006-0000-0200-000050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416" authorId="0" shapeId="0" xr:uid="{00000000-0006-0000-0200-00005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418" authorId="1" shapeId="0" xr:uid="{00000000-0006-0000-0200-000052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426" authorId="1" shapeId="0" xr:uid="{00000000-0006-0000-0200-000053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427" authorId="0" shapeId="0" xr:uid="{00000000-0006-0000-0200-00005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445" authorId="0" shapeId="0" xr:uid="{00000000-0006-0000-0200-00005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447" authorId="1" shapeId="0" xr:uid="{00000000-0006-0000-0200-000056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455" authorId="1" shapeId="0" xr:uid="{00000000-0006-0000-0200-000057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456" authorId="0" shapeId="0" xr:uid="{00000000-0006-0000-0200-00005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474" authorId="0" shapeId="0" xr:uid="{00000000-0006-0000-0200-00005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476" authorId="1" shapeId="0" xr:uid="{00000000-0006-0000-0200-00005A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484" authorId="1" shapeId="0" xr:uid="{00000000-0006-0000-0200-00005B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485" authorId="0" shapeId="0" xr:uid="{00000000-0006-0000-0200-00005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C5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10783*12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B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данных бюджетного обследования из Цыбатова</t>
        </r>
      </text>
    </comment>
    <comment ref="C3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номер децили</t>
        </r>
      </text>
    </comment>
    <comment ref="B7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еда, одежда и прочее</t>
        </r>
      </text>
    </comment>
    <comment ref="B35" authorId="0" shapeId="0" xr:uid="{00000000-0006-0000-0400-00000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для выхода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тс</author>
  </authors>
  <commentList>
    <comment ref="C9" authorId="0" shapeId="0" xr:uid="{00000000-0006-0000-0700-000001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число шагов распределения случайной части расходов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B8" authorId="0" shapeId="0" xr:uid="{00000000-0006-0000-1200-00000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условно
</t>
        </r>
      </text>
    </comment>
    <comment ref="A10" authorId="0" shapeId="0" xr:uid="{00000000-0006-0000-1200-000002000000}">
      <text>
        <r>
          <rPr>
            <b/>
            <sz val="9"/>
            <color indexed="81"/>
            <rFont val="Tahoma"/>
            <family val="2"/>
            <charset val="204"/>
          </rPr>
          <t xml:space="preserve">Windows Uномер децили
</t>
        </r>
      </text>
    </comment>
    <comment ref="C10" authorId="0" shapeId="0" xr:uid="{00000000-0006-0000-1200-00000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нужно по годам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тс</author>
  </authors>
  <commentList>
    <comment ref="M5" authorId="0" shapeId="0" xr:uid="{00000000-0006-0000-1400-00000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7" authorId="1" shapeId="0" xr:uid="{00000000-0006-0000-1400-000002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8" authorId="0" shapeId="0" xr:uid="{00000000-0006-0000-1400-00000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8" authorId="0" shapeId="0" xr:uid="{00000000-0006-0000-1400-00000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9" authorId="0" shapeId="0" xr:uid="{00000000-0006-0000-1400-00000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10" authorId="0" shapeId="0" xr:uid="{00000000-0006-0000-1400-000006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11" authorId="0" shapeId="0" xr:uid="{00000000-0006-0000-1400-000007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O13" authorId="0" shapeId="0" xr:uid="{00000000-0006-0000-1400-00000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текущему году (2016)</t>
        </r>
      </text>
    </comment>
    <comment ref="L15" authorId="1" shapeId="0" xr:uid="{00000000-0006-0000-1400-000009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16" authorId="0" shapeId="0" xr:uid="{00000000-0006-0000-1400-00000A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</commentList>
</comments>
</file>

<file path=xl/sharedStrings.xml><?xml version="1.0" encoding="utf-8"?>
<sst xmlns="http://schemas.openxmlformats.org/spreadsheetml/2006/main" count="1205" uniqueCount="201">
  <si>
    <t>Деление на децили</t>
  </si>
  <si>
    <r>
      <t>22846.4 </t>
    </r>
    <r>
      <rPr>
        <vertAlign val="superscript"/>
        <sz val="14"/>
        <color theme="1"/>
        <rFont val="Times New Roman"/>
        <family val="1"/>
        <charset val="204"/>
      </rPr>
      <t>1)</t>
    </r>
  </si>
  <si>
    <t>Среднедушевые денежные доходы населения (в месяц)</t>
  </si>
  <si>
    <t>номинальные, руб.</t>
  </si>
  <si>
    <t>i</t>
  </si>
  <si>
    <t>общее кол-во ДХ</t>
  </si>
  <si>
    <t>5000,1-7000,0</t>
  </si>
  <si>
    <t>7000,1-10000,0</t>
  </si>
  <si>
    <t>10000,1-14000,0</t>
  </si>
  <si>
    <t>14000,1-19000,0</t>
  </si>
  <si>
    <t>19000,1-27000,0</t>
  </si>
  <si>
    <t>27000,1-45000,0</t>
  </si>
  <si>
    <t>кол-во агентов</t>
  </si>
  <si>
    <t>агент=домохозяйство</t>
  </si>
  <si>
    <t>социальные выплаты</t>
  </si>
  <si>
    <t>доходы от собственности</t>
  </si>
  <si>
    <t>доходы от предпринимательской деятельности</t>
  </si>
  <si>
    <t>другие доходы</t>
  </si>
  <si>
    <t>оплата труда</t>
  </si>
  <si>
    <t>Д1</t>
  </si>
  <si>
    <t>Среднедушевой доход в месяц, в номинальных ценах</t>
  </si>
  <si>
    <t>год</t>
  </si>
  <si>
    <t>2016 год</t>
  </si>
  <si>
    <t>Среднедушевой номинальный доход в 2016</t>
  </si>
  <si>
    <t>%</t>
  </si>
  <si>
    <t>до 1000</t>
  </si>
  <si>
    <t>1000,1-5000</t>
  </si>
  <si>
    <t>45000,1-100000</t>
  </si>
  <si>
    <t>свыше 100000,1</t>
  </si>
  <si>
    <t>Доходы</t>
  </si>
  <si>
    <t>Расходы</t>
  </si>
  <si>
    <t>Монте-Карло</t>
  </si>
  <si>
    <t>=НОРМОБР(СЛЧИС();(3+2)/2;(3-2)/3,29),</t>
  </si>
  <si>
    <t>Денежные доходы – всего, млн.руб.</t>
  </si>
  <si>
    <t>в том числе:</t>
  </si>
  <si>
    <t>реальные, в процентах к предыдущему году</t>
  </si>
  <si>
    <t>Среднемесячная номинальная начисленная заработная плата работников организаций</t>
  </si>
  <si>
    <t>номинальная, руб.</t>
  </si>
  <si>
    <t>реальная, в процентах к предыдущему году</t>
  </si>
  <si>
    <t>Средний размер назначенных месячных пенсий (2000-2001гг.– с учетом компенсации)</t>
  </si>
  <si>
    <t>реальный, в процентах к предыдущему году</t>
  </si>
  <si>
    <t>оплата труда 2)</t>
  </si>
  <si>
    <t>22846.4 1)</t>
  </si>
  <si>
    <t>92.8 1)</t>
  </si>
  <si>
    <t>номинальный 3), руб.</t>
  </si>
  <si>
    <t>110.3 4)</t>
  </si>
  <si>
    <t>1) Предварительные данные.</t>
  </si>
  <si>
    <t>2) Включая скрытую (официально не учтенную) заработную плату.</t>
  </si>
  <si>
    <t>3) 2010г. – по состоянию на 1 января года, следующего за отчетным.</t>
  </si>
  <si>
    <t>4) 2010г. – 1 января 2011г. к 31 декабря 2009 года.</t>
  </si>
  <si>
    <t>БД1 для расслоения по децилям</t>
  </si>
  <si>
    <t>прочие доходы</t>
  </si>
  <si>
    <t>млн руб</t>
  </si>
  <si>
    <t>оплата труда бюджет</t>
  </si>
  <si>
    <t>оплата труда внебюджет</t>
  </si>
  <si>
    <t>ПРОЦЕДУРА РАССЛОЕНИЯ</t>
  </si>
  <si>
    <t>Исходные данные 2016 г.</t>
  </si>
  <si>
    <t>TempRostaSocTr (a)</t>
  </si>
  <si>
    <t>Социальные трансферты</t>
  </si>
  <si>
    <t>Доходы внебюджеnников и предпринимательские доходы бюджетников</t>
  </si>
  <si>
    <t>QU</t>
  </si>
  <si>
    <t>Баланс</t>
  </si>
  <si>
    <t>TempRostaZPBud (bbb)</t>
  </si>
  <si>
    <t>максимум p1</t>
  </si>
  <si>
    <t>максимум z1bud</t>
  </si>
  <si>
    <t>коэффициент фондов</t>
  </si>
  <si>
    <t>баланс</t>
  </si>
  <si>
    <t>n - число жителей в децили</t>
  </si>
  <si>
    <t>доходы</t>
  </si>
  <si>
    <t>доходы всего</t>
  </si>
  <si>
    <t>к-т потребления</t>
  </si>
  <si>
    <t>платные услуги</t>
  </si>
  <si>
    <t>недвижимость</t>
  </si>
  <si>
    <t>прочие расходы</t>
  </si>
  <si>
    <t>доходы по децилям 2016</t>
  </si>
  <si>
    <t>decdoh2016</t>
  </si>
  <si>
    <t>доходы по децилям 2017</t>
  </si>
  <si>
    <t>decdoh2017</t>
  </si>
  <si>
    <t>Бюджет прожиточного минимума</t>
  </si>
  <si>
    <t>к-т потребления по децилям</t>
  </si>
  <si>
    <t>dec1</t>
  </si>
  <si>
    <t>dec2</t>
  </si>
  <si>
    <t>dec3</t>
  </si>
  <si>
    <t>dec4</t>
  </si>
  <si>
    <t>dec5</t>
  </si>
  <si>
    <t>dec6</t>
  </si>
  <si>
    <t>dec7</t>
  </si>
  <si>
    <t>dec8</t>
  </si>
  <si>
    <t>dec9</t>
  </si>
  <si>
    <t>dec10</t>
  </si>
  <si>
    <t>Матрица расходов по децилям (% от доходов)</t>
  </si>
  <si>
    <t>о</t>
  </si>
  <si>
    <t>NA=2</t>
  </si>
  <si>
    <t>число агентов в децили</t>
  </si>
  <si>
    <t>Доля равномерно распределяемых доходов в децили</t>
  </si>
  <si>
    <t>DRRD</t>
  </si>
  <si>
    <t>Доходы децилей</t>
  </si>
  <si>
    <t>Равномерное распределение доходов</t>
  </si>
  <si>
    <t>агент1</t>
  </si>
  <si>
    <t>агент2</t>
  </si>
  <si>
    <t>случайная генерация нераспределенного остатка по агентам</t>
  </si>
  <si>
    <t>Доля равномерно распределяемых расходов в децили</t>
  </si>
  <si>
    <t>DRRR</t>
  </si>
  <si>
    <t>Расходы децилей</t>
  </si>
  <si>
    <t>равномерно по матрице</t>
  </si>
  <si>
    <t>финальное распределение доходов по агентам и децилям</t>
  </si>
  <si>
    <t>NSHR</t>
  </si>
  <si>
    <t>l=1</t>
  </si>
  <si>
    <t>генерируем сл. Число для попадания в спектр матрицы расходов</t>
  </si>
  <si>
    <t>случайные добавки Z0</t>
  </si>
  <si>
    <t>Z0</t>
  </si>
  <si>
    <t>l=2</t>
  </si>
  <si>
    <t>l=3</t>
  </si>
  <si>
    <t>ИТОГО дополнительный спрос домохозяйств</t>
  </si>
  <si>
    <t>ИТОГО дополнительный спрос домохозяйств (млн руб)</t>
  </si>
  <si>
    <t>итого</t>
  </si>
  <si>
    <t>максимальные значения  для первой децили Д1</t>
  </si>
  <si>
    <t>максимум Dohvnebud1</t>
  </si>
  <si>
    <t>p1,z1bud,Dohvnebud1</t>
  </si>
  <si>
    <t>p1,z1bud,Dohvnebud1 в долях от максимальных значений (их нужно задавать так,чтобы выйти на статистический порядок коэффициента фондов</t>
  </si>
  <si>
    <t>Баланс***</t>
  </si>
  <si>
    <t>NNN - число жителей всего в текущем году</t>
  </si>
  <si>
    <t>этот объем спроса трансформируется в новые мощности внебюджетного сектора социальной сфкры (если спрос растет по сравнению с предыдущим годом, соответствующая дельта порождает новые мощности)</t>
  </si>
  <si>
    <t>на это население покупает жилье по текущей цене</t>
  </si>
  <si>
    <t>Входная информация по годам</t>
  </si>
  <si>
    <t>учитывает каким образом в бюжетной сфере мы индексируем зарплату, во внебюджетной  - зависит от роста экономики (сценарий) и программы освоения МСБ(модель)</t>
  </si>
  <si>
    <t>задается политика социальных выплат</t>
  </si>
  <si>
    <t>внебюджетная сфера  - зависит от роста экономики (сценарий) и программы освоения МСБ(модель)</t>
  </si>
  <si>
    <t>по годам задается в соответствии с инфляцией</t>
  </si>
  <si>
    <t xml:space="preserve">коэффициент фондов </t>
  </si>
  <si>
    <t>ретроспектива по годам определяет начальную точку перспективы, а дальше генерируется в модели домохозяйств</t>
  </si>
  <si>
    <t xml:space="preserve">Матрица расходов в зависимости от уровня потребления ИСХОДНАЯ </t>
  </si>
  <si>
    <t>попробовать найти посвеже, чем цыбатовская, и поближе к  ЗК</t>
  </si>
  <si>
    <t>Зарплата бюджетников</t>
  </si>
  <si>
    <t xml:space="preserve"> </t>
  </si>
  <si>
    <r>
      <t>оплата труда</t>
    </r>
    <r>
      <rPr>
        <sz val="11"/>
        <color theme="0" tint="-0.24994659260841701"/>
        <rFont val="Calibri"/>
        <family val="2"/>
        <charset val="204"/>
        <scheme val="minor"/>
      </rPr>
      <t> </t>
    </r>
    <r>
      <rPr>
        <sz val="11"/>
        <rFont val="Calibri"/>
        <family val="2"/>
        <charset val="204"/>
        <scheme val="minor"/>
      </rPr>
      <t>2)</t>
    </r>
  </si>
  <si>
    <t>всего</t>
  </si>
  <si>
    <t>Д2</t>
  </si>
  <si>
    <t>Доходы внебюджетников и предпринимательские доходы бюджетников</t>
  </si>
  <si>
    <t>decdoh2018</t>
  </si>
  <si>
    <t>decdoh2020</t>
  </si>
  <si>
    <t>платные услуги текущие цены</t>
  </si>
  <si>
    <t>млн.руб</t>
  </si>
  <si>
    <t>доля фонда оплаты труда на бюджет</t>
  </si>
  <si>
    <t>n1 - число жителей в децили</t>
  </si>
  <si>
    <t>Имена ячеек</t>
  </si>
  <si>
    <t>ndec1_2016</t>
  </si>
  <si>
    <t>количество жителей в первой децили вданном  году</t>
  </si>
  <si>
    <t>доходы (млн руб)</t>
  </si>
  <si>
    <t>p</t>
  </si>
  <si>
    <t>q</t>
  </si>
  <si>
    <t>для макросов</t>
  </si>
  <si>
    <t>Коэф фондов</t>
  </si>
  <si>
    <t>a</t>
  </si>
  <si>
    <t>b</t>
  </si>
  <si>
    <t>коэффициенты</t>
  </si>
  <si>
    <t>модель, общая численность населения (тыс чел)</t>
  </si>
  <si>
    <t>доходы по децилям 2018</t>
  </si>
  <si>
    <t>доходы по децилям 2019</t>
  </si>
  <si>
    <t>Доли фактических расходов децили</t>
  </si>
  <si>
    <t>Матрица расходов ИСХОДНАЯ (входные данные)</t>
  </si>
  <si>
    <t>прочее</t>
  </si>
  <si>
    <t>Q</t>
  </si>
  <si>
    <t>decdoh2030</t>
  </si>
  <si>
    <t>decdoh2029</t>
  </si>
  <si>
    <t>decdoh2028</t>
  </si>
  <si>
    <t>decdoh2027</t>
  </si>
  <si>
    <t>decdoh2026</t>
  </si>
  <si>
    <t>decdoh2025</t>
  </si>
  <si>
    <t>decdoh2024</t>
  </si>
  <si>
    <t>decdoh2023</t>
  </si>
  <si>
    <t>decdoh2022</t>
  </si>
  <si>
    <t>decdoh2021</t>
  </si>
  <si>
    <t>decdoh2019</t>
  </si>
  <si>
    <t>коэф  фондов</t>
  </si>
  <si>
    <t>доходы по децилям 2021</t>
  </si>
  <si>
    <t>сценарий M1-оптимизм</t>
  </si>
  <si>
    <t>сценарий M2-инерция</t>
  </si>
  <si>
    <t>сценарий M3-пессимизм</t>
  </si>
  <si>
    <t xml:space="preserve">Сценарии инфляции в потр. секторе </t>
  </si>
  <si>
    <t>Сценарий инфляции</t>
  </si>
  <si>
    <t>Берём в БД и на пульте</t>
  </si>
  <si>
    <t>перекачано с листа Расслоение</t>
  </si>
  <si>
    <t>доходы по децилям 2022</t>
  </si>
  <si>
    <t>доходы по децилям 2023</t>
  </si>
  <si>
    <t>доходы по децилям 2024</t>
  </si>
  <si>
    <t>Полный объем</t>
  </si>
  <si>
    <t>Исходные данные 2017 г.</t>
  </si>
  <si>
    <t>Исходные данные 2018 г.</t>
  </si>
  <si>
    <t>Исходные данные 2019 г.</t>
  </si>
  <si>
    <t>Исходные данные 2020 г.</t>
  </si>
  <si>
    <t>Исходные данные 2021 г.</t>
  </si>
  <si>
    <t>Исходные данные 2022 г.</t>
  </si>
  <si>
    <t>Исходные данные 2023 г.</t>
  </si>
  <si>
    <t>Исходные данные 2024 г.</t>
  </si>
  <si>
    <t>Исходные данные 2025 г.</t>
  </si>
  <si>
    <t>Исходные данные 2026 г.</t>
  </si>
  <si>
    <t>Исходные данные 2027 г.</t>
  </si>
  <si>
    <t>Исходные данные 2028 г.</t>
  </si>
  <si>
    <t>Исходные данные 2029 г.</t>
  </si>
  <si>
    <t>Исходные данные 2030 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</si>
</sst>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\ _₽_-;\-* #,##0.00\ _₽_-;_-* &quot;-&quot;??\ _₽_-;_-@_-"/>
  </numFmts>
  <fonts count="3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vertAlign val="superscript"/>
      <sz val="14"/>
      <color theme="1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rgb="FF424242"/>
      <name val="Verdana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i/>
      <sz val="11"/>
      <color rgb="FFFF0000"/>
      <name val="Calibri"/>
      <family val="2"/>
      <charset val="204"/>
      <scheme val="minor"/>
    </font>
    <font>
      <i/>
      <sz val="8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i/>
      <u/>
      <sz val="16"/>
      <color theme="1"/>
      <name val="Calibri"/>
      <family val="2"/>
      <charset val="204"/>
      <scheme val="minor"/>
    </font>
    <font>
      <b/>
      <sz val="14"/>
      <color theme="8" tint="-0.499984740745262"/>
      <name val="Calibri"/>
      <family val="2"/>
      <charset val="204"/>
      <scheme val="minor"/>
    </font>
    <font>
      <b/>
      <i/>
      <u/>
      <sz val="11"/>
      <color rgb="FFFF0000"/>
      <name val="Calibri"/>
      <family val="2"/>
      <charset val="204"/>
      <scheme val="minor"/>
    </font>
    <font>
      <b/>
      <i/>
      <sz val="14"/>
      <color theme="4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4"/>
      <color theme="3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b/>
      <sz val="14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24994659260841701"/>
      <name val="Calibri"/>
      <family val="2"/>
      <charset val="204"/>
      <scheme val="minor"/>
    </font>
    <font>
      <i/>
      <sz val="8"/>
      <name val="Arial Cyr"/>
      <charset val="204"/>
    </font>
    <font>
      <b/>
      <sz val="10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4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6">
    <xf numFmtId="0" fontId="0" fillId="0" borderId="0" xfId="0"/>
    <xf numFmtId="0" fontId="4" fillId="0" borderId="1" xfId="0" applyFont="1" applyBorder="1" applyAlignment="1">
      <alignment horizontal="right" vertical="center" wrapText="1"/>
    </xf>
    <xf numFmtId="0" fontId="4" fillId="2" borderId="2" xfId="0" applyFont="1" applyFill="1" applyBorder="1" applyAlignment="1">
      <alignment vertical="center" wrapText="1"/>
    </xf>
    <xf numFmtId="0" fontId="4" fillId="0" borderId="2" xfId="0" applyFont="1" applyBorder="1" applyAlignment="1">
      <alignment horizontal="right" vertical="center" wrapText="1"/>
    </xf>
    <xf numFmtId="0" fontId="8" fillId="0" borderId="0" xfId="0" applyFont="1" applyAlignment="1">
      <alignment horizontal="center"/>
    </xf>
    <xf numFmtId="0" fontId="0" fillId="0" borderId="0" xfId="0" applyAlignment="1">
      <alignment horizontal="right"/>
    </xf>
    <xf numFmtId="43" fontId="0" fillId="0" borderId="0" xfId="1" applyFont="1"/>
    <xf numFmtId="0" fontId="8" fillId="0" borderId="0" xfId="0" applyFont="1" applyAlignment="1">
      <alignment horizontal="right"/>
    </xf>
    <xf numFmtId="43" fontId="0" fillId="0" borderId="0" xfId="0" applyNumberFormat="1"/>
    <xf numFmtId="0" fontId="0" fillId="0" borderId="0" xfId="0" applyAlignment="1">
      <alignment horizontal="center"/>
    </xf>
    <xf numFmtId="0" fontId="0" fillId="0" borderId="0" xfId="0" applyBorder="1"/>
    <xf numFmtId="0" fontId="9" fillId="0" borderId="0" xfId="0" applyFont="1" applyBorder="1" applyAlignment="1">
      <alignment horizontal="right" vertical="center" wrapText="1" indent="1"/>
    </xf>
    <xf numFmtId="0" fontId="0" fillId="0" borderId="0" xfId="0" applyAlignment="1">
      <alignment horizontal="center" vertical="center" wrapText="1"/>
    </xf>
    <xf numFmtId="0" fontId="9" fillId="0" borderId="0" xfId="0" applyFont="1" applyBorder="1" applyAlignment="1">
      <alignment horizontal="right" vertical="center" wrapText="1" indent="2"/>
    </xf>
    <xf numFmtId="0" fontId="2" fillId="0" borderId="0" xfId="0" applyFont="1" applyAlignment="1">
      <alignment horizontal="center"/>
    </xf>
    <xf numFmtId="0" fontId="9" fillId="0" borderId="0" xfId="0" applyFont="1" applyFill="1" applyBorder="1" applyAlignment="1">
      <alignment horizontal="right" vertical="center" wrapText="1" indent="2"/>
    </xf>
    <xf numFmtId="43" fontId="9" fillId="0" borderId="1" xfId="1" applyFont="1" applyBorder="1" applyAlignment="1">
      <alignment horizontal="right" vertical="center" wrapText="1"/>
    </xf>
    <xf numFmtId="9" fontId="0" fillId="3" borderId="0" xfId="0" applyNumberFormat="1" applyFill="1" applyAlignment="1">
      <alignment horizontal="center"/>
    </xf>
    <xf numFmtId="9" fontId="9" fillId="0" borderId="1" xfId="0" applyNumberFormat="1" applyFont="1" applyBorder="1" applyAlignment="1">
      <alignment horizontal="right" vertical="center" wrapText="1"/>
    </xf>
    <xf numFmtId="10" fontId="9" fillId="0" borderId="1" xfId="0" applyNumberFormat="1" applyFont="1" applyBorder="1" applyAlignment="1">
      <alignment horizontal="right" vertical="center" wrapText="1"/>
    </xf>
    <xf numFmtId="9" fontId="0" fillId="3" borderId="0" xfId="0" applyNumberFormat="1" applyFill="1"/>
    <xf numFmtId="0" fontId="3" fillId="0" borderId="0" xfId="0" applyFont="1"/>
    <xf numFmtId="0" fontId="10" fillId="0" borderId="0" xfId="0" applyFont="1"/>
    <xf numFmtId="0" fontId="11" fillId="0" borderId="0" xfId="0" applyFont="1"/>
    <xf numFmtId="0" fontId="11" fillId="0" borderId="3" xfId="0" applyFont="1" applyBorder="1"/>
    <xf numFmtId="0" fontId="13" fillId="0" borderId="0" xfId="0" applyFont="1"/>
    <xf numFmtId="0" fontId="12" fillId="0" borderId="4" xfId="0" applyFont="1" applyBorder="1"/>
    <xf numFmtId="0" fontId="12" fillId="0" borderId="5" xfId="0" applyFont="1" applyBorder="1"/>
    <xf numFmtId="0" fontId="14" fillId="0" borderId="3" xfId="0" applyFont="1" applyBorder="1"/>
    <xf numFmtId="0" fontId="15" fillId="0" borderId="3" xfId="0" applyFont="1" applyBorder="1"/>
    <xf numFmtId="0" fontId="16" fillId="0" borderId="0" xfId="0" applyFont="1"/>
    <xf numFmtId="0" fontId="17" fillId="0" borderId="0" xfId="0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3" fillId="0" borderId="3" xfId="0" applyFont="1" applyBorder="1"/>
    <xf numFmtId="0" fontId="3" fillId="5" borderId="6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1" fillId="0" borderId="4" xfId="0" applyFont="1" applyBorder="1"/>
    <xf numFmtId="0" fontId="11" fillId="0" borderId="5" xfId="0" applyFont="1" applyBorder="1"/>
    <xf numFmtId="0" fontId="11" fillId="0" borderId="6" xfId="0" applyFont="1" applyBorder="1"/>
    <xf numFmtId="0" fontId="16" fillId="0" borderId="3" xfId="0" applyFont="1" applyBorder="1"/>
    <xf numFmtId="0" fontId="3" fillId="5" borderId="3" xfId="0" applyFont="1" applyFill="1" applyBorder="1"/>
    <xf numFmtId="0" fontId="11" fillId="0" borderId="3" xfId="0" applyFont="1" applyFill="1" applyBorder="1"/>
    <xf numFmtId="0" fontId="18" fillId="0" borderId="3" xfId="0" applyFont="1" applyBorder="1"/>
    <xf numFmtId="0" fontId="12" fillId="0" borderId="10" xfId="0" applyFont="1" applyBorder="1"/>
    <xf numFmtId="0" fontId="11" fillId="0" borderId="9" xfId="0" applyFont="1" applyBorder="1"/>
    <xf numFmtId="0" fontId="0" fillId="0" borderId="11" xfId="0" applyBorder="1"/>
    <xf numFmtId="0" fontId="0" fillId="0" borderId="12" xfId="0" applyBorder="1"/>
    <xf numFmtId="0" fontId="0" fillId="0" borderId="2" xfId="0" applyBorder="1"/>
    <xf numFmtId="0" fontId="0" fillId="0" borderId="13" xfId="0" applyBorder="1"/>
    <xf numFmtId="0" fontId="0" fillId="0" borderId="14" xfId="0" applyBorder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0" fillId="0" borderId="15" xfId="0" applyBorder="1"/>
    <xf numFmtId="0" fontId="0" fillId="0" borderId="10" xfId="0" applyBorder="1"/>
    <xf numFmtId="0" fontId="0" fillId="0" borderId="16" xfId="0" applyBorder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4" fillId="0" borderId="0" xfId="0" applyFont="1" applyFill="1" applyBorder="1"/>
    <xf numFmtId="0" fontId="25" fillId="0" borderId="0" xfId="0" applyFont="1" applyFill="1" applyBorder="1"/>
    <xf numFmtId="0" fontId="26" fillId="0" borderId="0" xfId="0" applyFont="1"/>
    <xf numFmtId="0" fontId="14" fillId="0" borderId="0" xfId="0" applyFont="1"/>
    <xf numFmtId="0" fontId="29" fillId="0" borderId="0" xfId="0" applyFont="1"/>
    <xf numFmtId="0" fontId="15" fillId="0" borderId="0" xfId="0" applyFont="1" applyFill="1"/>
    <xf numFmtId="0" fontId="0" fillId="6" borderId="0" xfId="0" applyFill="1"/>
    <xf numFmtId="0" fontId="3" fillId="0" borderId="0" xfId="0" applyFont="1" applyAlignment="1">
      <alignment horizontal="right"/>
    </xf>
    <xf numFmtId="0" fontId="11" fillId="0" borderId="0" xfId="0" applyFont="1" applyBorder="1"/>
    <xf numFmtId="0" fontId="18" fillId="0" borderId="0" xfId="0" applyFont="1" applyBorder="1"/>
    <xf numFmtId="0" fontId="3" fillId="0" borderId="0" xfId="0" applyFont="1" applyFill="1"/>
    <xf numFmtId="0" fontId="0" fillId="0" borderId="0" xfId="0" applyFont="1"/>
    <xf numFmtId="43" fontId="11" fillId="0" borderId="9" xfId="1" applyFont="1" applyBorder="1"/>
    <xf numFmtId="43" fontId="0" fillId="0" borderId="3" xfId="1" applyFont="1" applyBorder="1"/>
    <xf numFmtId="43" fontId="0" fillId="0" borderId="15" xfId="1" applyFont="1" applyBorder="1"/>
    <xf numFmtId="43" fontId="0" fillId="0" borderId="10" xfId="1" applyFont="1" applyBorder="1"/>
    <xf numFmtId="0" fontId="0" fillId="5" borderId="4" xfId="0" applyFill="1" applyBorder="1"/>
    <xf numFmtId="0" fontId="32" fillId="0" borderId="0" xfId="0" applyFont="1"/>
    <xf numFmtId="0" fontId="0" fillId="4" borderId="0" xfId="0" applyFill="1"/>
    <xf numFmtId="0" fontId="0" fillId="7" borderId="0" xfId="0" applyFill="1"/>
    <xf numFmtId="0" fontId="0" fillId="8" borderId="0" xfId="0" applyFill="1"/>
    <xf numFmtId="0" fontId="0" fillId="8" borderId="8" xfId="0" applyFill="1" applyBorder="1"/>
    <xf numFmtId="0" fontId="0" fillId="8" borderId="9" xfId="0" applyFill="1" applyBorder="1"/>
    <xf numFmtId="43" fontId="0" fillId="4" borderId="0" xfId="1" applyFont="1" applyFill="1"/>
    <xf numFmtId="0" fontId="33" fillId="0" borderId="0" xfId="0" applyFont="1"/>
    <xf numFmtId="0" fontId="34" fillId="0" borderId="0" xfId="0" applyFont="1"/>
    <xf numFmtId="0" fontId="0" fillId="0" borderId="0" xfId="0" applyAlignment="1">
      <alignment horizontal="left"/>
    </xf>
    <xf numFmtId="0" fontId="0" fillId="9" borderId="0" xfId="0" applyFill="1"/>
    <xf numFmtId="0" fontId="0" fillId="9" borderId="4" xfId="0" applyFill="1" applyBorder="1"/>
    <xf numFmtId="43" fontId="0" fillId="0" borderId="4" xfId="1" applyFont="1" applyBorder="1"/>
    <xf numFmtId="43" fontId="0" fillId="0" borderId="5" xfId="1" applyFont="1" applyBorder="1"/>
    <xf numFmtId="43" fontId="0" fillId="0" borderId="6" xfId="1" applyFont="1" applyBorder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Fill="1"/>
    <xf numFmtId="43" fontId="0" fillId="0" borderId="7" xfId="1" applyFont="1" applyBorder="1"/>
    <xf numFmtId="43" fontId="0" fillId="0" borderId="8" xfId="1" applyFont="1" applyBorder="1"/>
    <xf numFmtId="43" fontId="0" fillId="0" borderId="9" xfId="1" applyFont="1" applyBorder="1"/>
    <xf numFmtId="43" fontId="13" fillId="0" borderId="0" xfId="0" applyNumberFormat="1" applyFont="1"/>
    <xf numFmtId="43" fontId="3" fillId="5" borderId="3" xfId="1" applyFont="1" applyFill="1" applyBorder="1"/>
    <xf numFmtId="43" fontId="3" fillId="5" borderId="6" xfId="1" applyFont="1" applyFill="1" applyBorder="1"/>
    <xf numFmtId="0" fontId="16" fillId="0" borderId="0" xfId="0" applyFont="1" applyBorder="1"/>
    <xf numFmtId="43" fontId="18" fillId="0" borderId="3" xfId="1" applyFont="1" applyBorder="1"/>
    <xf numFmtId="0" fontId="0" fillId="10" borderId="0" xfId="0" applyFill="1"/>
    <xf numFmtId="43" fontId="11" fillId="0" borderId="0" xfId="1" applyFont="1" applyAlignment="1">
      <alignment horizontal="left"/>
    </xf>
    <xf numFmtId="0" fontId="0" fillId="0" borderId="0" xfId="0" applyNumberFormat="1"/>
    <xf numFmtId="0" fontId="14" fillId="0" borderId="3" xfId="0" applyNumberFormat="1" applyFont="1" applyBorder="1"/>
    <xf numFmtId="0" fontId="0" fillId="11" borderId="0" xfId="0" applyFill="1"/>
    <xf numFmtId="0" fontId="0" fillId="11" borderId="0" xfId="0" applyFill="1" applyAlignment="1">
      <alignment horizontal="center"/>
    </xf>
    <xf numFmtId="0" fontId="21" fillId="0" borderId="0" xfId="0" applyFont="1" applyBorder="1"/>
    <xf numFmtId="0" fontId="18" fillId="0" borderId="0" xfId="0" applyFont="1" applyBorder="1" applyAlignment="1">
      <alignment horizontal="left"/>
    </xf>
    <xf numFmtId="0" fontId="0" fillId="8" borderId="0" xfId="0" applyFill="1" applyBorder="1"/>
    <xf numFmtId="43" fontId="0" fillId="0" borderId="0" xfId="0" applyNumberFormat="1" applyBorder="1"/>
    <xf numFmtId="0" fontId="17" fillId="0" borderId="0" xfId="0" applyFont="1" applyBorder="1"/>
    <xf numFmtId="0" fontId="0" fillId="4" borderId="0" xfId="0" applyFill="1" applyBorder="1"/>
    <xf numFmtId="0" fontId="0" fillId="11" borderId="0" xfId="0" applyFill="1" applyBorder="1"/>
    <xf numFmtId="0" fontId="3" fillId="0" borderId="0" xfId="0" applyFont="1" applyBorder="1"/>
    <xf numFmtId="0" fontId="15" fillId="0" borderId="0" xfId="0" applyFont="1" applyBorder="1"/>
    <xf numFmtId="0" fontId="0" fillId="11" borderId="0" xfId="0" applyFill="1" applyBorder="1" applyAlignment="1">
      <alignment horizontal="center"/>
    </xf>
    <xf numFmtId="43" fontId="0" fillId="0" borderId="0" xfId="1" applyFont="1" applyBorder="1"/>
    <xf numFmtId="0" fontId="13" fillId="0" borderId="0" xfId="0" applyFont="1" applyBorder="1"/>
    <xf numFmtId="43" fontId="13" fillId="0" borderId="0" xfId="0" applyNumberFormat="1" applyFont="1" applyBorder="1"/>
    <xf numFmtId="0" fontId="12" fillId="0" borderId="0" xfId="0" applyFont="1" applyBorder="1"/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wrapText="1"/>
    </xf>
    <xf numFmtId="43" fontId="3" fillId="5" borderId="0" xfId="1" applyFont="1" applyFill="1" applyBorder="1"/>
    <xf numFmtId="0" fontId="11" fillId="0" borderId="0" xfId="0" applyFont="1" applyFill="1" applyBorder="1"/>
    <xf numFmtId="43" fontId="11" fillId="0" borderId="0" xfId="1" applyFont="1" applyBorder="1"/>
    <xf numFmtId="0" fontId="0" fillId="0" borderId="0" xfId="0" applyFont="1" applyBorder="1"/>
    <xf numFmtId="0" fontId="14" fillId="0" borderId="0" xfId="0" applyNumberFormat="1" applyFont="1" applyBorder="1"/>
    <xf numFmtId="0" fontId="14" fillId="0" borderId="0" xfId="0" applyFont="1" applyBorder="1"/>
    <xf numFmtId="0" fontId="19" fillId="0" borderId="0" xfId="0" applyFont="1" applyBorder="1"/>
    <xf numFmtId="43" fontId="18" fillId="0" borderId="0" xfId="1" applyFont="1" applyAlignment="1">
      <alignment horizontal="left"/>
    </xf>
    <xf numFmtId="0" fontId="0" fillId="0" borderId="8" xfId="0" applyFill="1" applyBorder="1"/>
    <xf numFmtId="43" fontId="0" fillId="0" borderId="16" xfId="1" applyFont="1" applyBorder="1"/>
    <xf numFmtId="43" fontId="0" fillId="0" borderId="7" xfId="1" applyFont="1" applyFill="1" applyBorder="1"/>
    <xf numFmtId="43" fontId="0" fillId="0" borderId="2" xfId="1" applyFont="1" applyBorder="1"/>
    <xf numFmtId="43" fontId="0" fillId="0" borderId="13" xfId="1" applyFont="1" applyBorder="1"/>
    <xf numFmtId="43" fontId="0" fillId="0" borderId="14" xfId="1" applyFont="1" applyBorder="1"/>
    <xf numFmtId="43" fontId="0" fillId="0" borderId="9" xfId="1" applyFont="1" applyFill="1" applyBorder="1"/>
    <xf numFmtId="0" fontId="0" fillId="12" borderId="0" xfId="0" applyFill="1"/>
    <xf numFmtId="0" fontId="0" fillId="9" borderId="0" xfId="0" applyFill="1" applyAlignment="1">
      <alignment horizontal="center"/>
    </xf>
    <xf numFmtId="43" fontId="0" fillId="0" borderId="3" xfId="0" applyNumberFormat="1" applyBorder="1"/>
    <xf numFmtId="0" fontId="35" fillId="0" borderId="0" xfId="0" applyFont="1"/>
    <xf numFmtId="0" fontId="21" fillId="4" borderId="0" xfId="0" applyFont="1" applyFill="1"/>
    <xf numFmtId="0" fontId="3" fillId="4" borderId="0" xfId="0" applyFont="1" applyFill="1"/>
    <xf numFmtId="0" fontId="0" fillId="0" borderId="3" xfId="0" applyNumberFormat="1" applyBorder="1"/>
    <xf numFmtId="10" fontId="0" fillId="0" borderId="0" xfId="0" applyNumberFormat="1"/>
    <xf numFmtId="43" fontId="0" fillId="9" borderId="0" xfId="1" applyFont="1" applyFill="1"/>
    <xf numFmtId="43" fontId="0" fillId="8" borderId="0" xfId="1" applyFont="1" applyFill="1"/>
    <xf numFmtId="43" fontId="0" fillId="0" borderId="0" xfId="1" applyFont="1" applyFill="1"/>
    <xf numFmtId="43" fontId="0" fillId="5" borderId="0" xfId="1" applyFont="1" applyFill="1"/>
  </cellXfs>
  <cellStyles count="2">
    <cellStyle name="Обычный" xfId="0" builtinId="0"/>
    <cellStyle name="Финансовый" xfId="1" builtinId="3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8E-4FD7-A2B2-8DC2AF60DFCB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8E-4FD7-A2B2-8DC2AF60DFCB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8E-4FD7-A2B2-8DC2AF60D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71904"/>
        <c:axId val="200573696"/>
      </c:lineChart>
      <c:catAx>
        <c:axId val="200571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573696"/>
        <c:crosses val="autoZero"/>
        <c:auto val="1"/>
        <c:lblAlgn val="ctr"/>
        <c:lblOffset val="100"/>
        <c:noMultiLvlLbl val="0"/>
      </c:catAx>
      <c:valAx>
        <c:axId val="20057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571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76-432A-A5DC-096F9222D6AB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76-432A-A5DC-096F9222D6AB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76-432A-A5DC-096F9222D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603904"/>
        <c:axId val="197722112"/>
      </c:lineChart>
      <c:catAx>
        <c:axId val="20060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722112"/>
        <c:crosses val="autoZero"/>
        <c:auto val="1"/>
        <c:lblAlgn val="ctr"/>
        <c:lblOffset val="100"/>
        <c:noMultiLvlLbl val="0"/>
      </c:catAx>
      <c:valAx>
        <c:axId val="197722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603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A3-482C-8D59-5D15DEC530C1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A3-482C-8D59-5D15DEC530C1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A3-482C-8D59-5D15DEC53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52320"/>
        <c:axId val="197753856"/>
      </c:lineChart>
      <c:catAx>
        <c:axId val="197752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753856"/>
        <c:crosses val="autoZero"/>
        <c:auto val="1"/>
        <c:lblAlgn val="ctr"/>
        <c:lblOffset val="100"/>
        <c:noMultiLvlLbl val="0"/>
      </c:catAx>
      <c:valAx>
        <c:axId val="197753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752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B6-4F10-A3B9-9C0A53418CD4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B6-4F10-A3B9-9C0A53418CD4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B6-4F10-A3B9-9C0A53418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96608"/>
        <c:axId val="197798144"/>
      </c:lineChart>
      <c:catAx>
        <c:axId val="197796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798144"/>
        <c:crosses val="autoZero"/>
        <c:auto val="1"/>
        <c:lblAlgn val="ctr"/>
        <c:lblOffset val="100"/>
        <c:noMultiLvlLbl val="0"/>
      </c:catAx>
      <c:valAx>
        <c:axId val="19779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796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E7-4A69-80F6-BC5ACD86FCFA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E7-4A69-80F6-BC5ACD86FCFA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E7-4A69-80F6-BC5ACD86F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12224"/>
        <c:axId val="197813760"/>
      </c:lineChart>
      <c:catAx>
        <c:axId val="197812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813760"/>
        <c:crosses val="autoZero"/>
        <c:auto val="1"/>
        <c:lblAlgn val="ctr"/>
        <c:lblOffset val="100"/>
        <c:noMultiLvlLbl val="0"/>
      </c:catAx>
      <c:valAx>
        <c:axId val="19781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812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33-4D7B-AADF-8F8291D409AC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33-4D7B-AADF-8F8291D409AC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33-4D7B-AADF-8F8291D40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44352"/>
        <c:axId val="201143424"/>
      </c:lineChart>
      <c:catAx>
        <c:axId val="197844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143424"/>
        <c:crosses val="autoZero"/>
        <c:auto val="1"/>
        <c:lblAlgn val="ctr"/>
        <c:lblOffset val="100"/>
        <c:noMultiLvlLbl val="0"/>
      </c:catAx>
      <c:valAx>
        <c:axId val="201143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84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AC-49E6-8205-5EF522466F26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AC-49E6-8205-5EF522466F26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AC-49E6-8205-5EF522466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165440"/>
        <c:axId val="201175424"/>
      </c:lineChart>
      <c:catAx>
        <c:axId val="20116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175424"/>
        <c:crosses val="autoZero"/>
        <c:auto val="1"/>
        <c:lblAlgn val="ctr"/>
        <c:lblOffset val="100"/>
        <c:noMultiLvlLbl val="0"/>
      </c:catAx>
      <c:valAx>
        <c:axId val="201175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165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6-41B6-ABA9-D1D7B48B8B16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6-41B6-ABA9-D1D7B48B8B16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86-41B6-ABA9-D1D7B48B8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955392"/>
        <c:axId val="200956928"/>
      </c:lineChart>
      <c:catAx>
        <c:axId val="20095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956928"/>
        <c:crosses val="autoZero"/>
        <c:auto val="1"/>
        <c:lblAlgn val="ctr"/>
        <c:lblOffset val="100"/>
        <c:noMultiLvlLbl val="0"/>
      </c:catAx>
      <c:valAx>
        <c:axId val="20095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955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1-4A44-A1CB-E12EE83DBB5F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41-4A44-A1CB-E12EE83DBB5F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41-4A44-A1CB-E12EE83DB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999680"/>
        <c:axId val="201001216"/>
      </c:lineChart>
      <c:catAx>
        <c:axId val="200999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01216"/>
        <c:crosses val="autoZero"/>
        <c:auto val="1"/>
        <c:lblAlgn val="ctr"/>
        <c:lblOffset val="100"/>
        <c:noMultiLvlLbl val="0"/>
      </c:catAx>
      <c:valAx>
        <c:axId val="201001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999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0-454C-9445-C3A4025CD678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F0-454C-9445-C3A4025CD678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F0-454C-9445-C3A4025CD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19392"/>
        <c:axId val="201020928"/>
      </c:lineChart>
      <c:catAx>
        <c:axId val="201019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20928"/>
        <c:crosses val="autoZero"/>
        <c:auto val="1"/>
        <c:lblAlgn val="ctr"/>
        <c:lblOffset val="100"/>
        <c:noMultiLvlLbl val="0"/>
      </c:catAx>
      <c:valAx>
        <c:axId val="201020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19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5F-49C1-A602-091589B6E45E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5F-49C1-A602-091589B6E45E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5F-49C1-A602-091589B6E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51136"/>
        <c:axId val="201052928"/>
      </c:lineChart>
      <c:catAx>
        <c:axId val="201051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52928"/>
        <c:crosses val="autoZero"/>
        <c:auto val="1"/>
        <c:lblAlgn val="ctr"/>
        <c:lblOffset val="100"/>
        <c:noMultiLvlLbl val="0"/>
      </c:catAx>
      <c:valAx>
        <c:axId val="20105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511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FA-47C1-BC66-106AC31B26B7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FA-47C1-BC66-106AC31B26B7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FA-47C1-BC66-106AC31B2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222400"/>
        <c:axId val="201228288"/>
      </c:lineChart>
      <c:catAx>
        <c:axId val="201222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228288"/>
        <c:crosses val="autoZero"/>
        <c:auto val="1"/>
        <c:lblAlgn val="ctr"/>
        <c:lblOffset val="100"/>
        <c:noMultiLvlLbl val="0"/>
      </c:catAx>
      <c:valAx>
        <c:axId val="201228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22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23-4A18-9B39-F4E0B781BA6A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23-4A18-9B39-F4E0B781BA6A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23-4A18-9B39-F4E0B781B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524736"/>
        <c:axId val="201526272"/>
      </c:lineChart>
      <c:catAx>
        <c:axId val="20152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526272"/>
        <c:crosses val="autoZero"/>
        <c:auto val="1"/>
        <c:lblAlgn val="ctr"/>
        <c:lblOffset val="100"/>
        <c:noMultiLvlLbl val="0"/>
      </c:catAx>
      <c:valAx>
        <c:axId val="201526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24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7-40E4-BB62-5C727CA2ECA0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E7-40E4-BB62-5C727CA2ECA0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E7-40E4-BB62-5C727CA2E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559040"/>
        <c:axId val="201564928"/>
      </c:lineChart>
      <c:catAx>
        <c:axId val="20155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564928"/>
        <c:crosses val="autoZero"/>
        <c:auto val="1"/>
        <c:lblAlgn val="ctr"/>
        <c:lblOffset val="100"/>
        <c:noMultiLvlLbl val="0"/>
      </c:catAx>
      <c:valAx>
        <c:axId val="201564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59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57-4B8B-96FC-630BB9AE9BD3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57-4B8B-96FC-630BB9AE9BD3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57-4B8B-96FC-630BB9AE9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660672"/>
        <c:axId val="201674752"/>
      </c:lineChart>
      <c:catAx>
        <c:axId val="201660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674752"/>
        <c:crosses val="autoZero"/>
        <c:auto val="1"/>
        <c:lblAlgn val="ctr"/>
        <c:lblOffset val="100"/>
        <c:noMultiLvlLbl val="0"/>
      </c:catAx>
      <c:valAx>
        <c:axId val="20167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60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8F-4135-9941-F7D959191812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8F-4135-9941-F7D959191812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8F-4135-9941-F7D959191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00864"/>
        <c:axId val="201702400"/>
      </c:lineChart>
      <c:catAx>
        <c:axId val="20170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702400"/>
        <c:crosses val="autoZero"/>
        <c:auto val="1"/>
        <c:lblAlgn val="ctr"/>
        <c:lblOffset val="100"/>
        <c:noMultiLvlLbl val="0"/>
      </c:catAx>
      <c:valAx>
        <c:axId val="20170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00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BC-4E3E-9768-DB81D4EA4C52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BC-4E3E-9768-DB81D4EA4C52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BC-4E3E-9768-DB81D4EA4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41056"/>
        <c:axId val="201742592"/>
      </c:lineChart>
      <c:catAx>
        <c:axId val="201741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742592"/>
        <c:crosses val="autoZero"/>
        <c:auto val="1"/>
        <c:lblAlgn val="ctr"/>
        <c:lblOffset val="100"/>
        <c:noMultiLvlLbl val="0"/>
      </c:catAx>
      <c:valAx>
        <c:axId val="201742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41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E-40F9-9AE4-1E376283CA65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4E-40F9-9AE4-1E376283CA65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4E-40F9-9AE4-1E376283C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68960"/>
        <c:axId val="201770496"/>
      </c:lineChart>
      <c:catAx>
        <c:axId val="20176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770496"/>
        <c:crosses val="autoZero"/>
        <c:auto val="1"/>
        <c:lblAlgn val="ctr"/>
        <c:lblOffset val="100"/>
        <c:noMultiLvlLbl val="0"/>
      </c:catAx>
      <c:valAx>
        <c:axId val="201770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689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1D-42DE-A393-23EA2CCCAD0B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1D-42DE-A393-23EA2CCCAD0B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1D-42DE-A393-23EA2CCCA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804800"/>
        <c:axId val="201814784"/>
      </c:lineChart>
      <c:catAx>
        <c:axId val="201804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814784"/>
        <c:crosses val="autoZero"/>
        <c:auto val="1"/>
        <c:lblAlgn val="ctr"/>
        <c:lblOffset val="100"/>
        <c:noMultiLvlLbl val="0"/>
      </c:catAx>
      <c:valAx>
        <c:axId val="201814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804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88-4165-BD8B-E8D12EBE8252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88-4165-BD8B-E8D12EBE8252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88-4165-BD8B-E8D12EBE8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841280"/>
        <c:axId val="201863552"/>
      </c:lineChart>
      <c:catAx>
        <c:axId val="20184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863552"/>
        <c:crosses val="autoZero"/>
        <c:auto val="1"/>
        <c:lblAlgn val="ctr"/>
        <c:lblOffset val="100"/>
        <c:noMultiLvlLbl val="0"/>
      </c:catAx>
      <c:valAx>
        <c:axId val="201863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841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14-4336-8DBD-9461A6A89165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14-4336-8DBD-9461A6A89165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14-4336-8DBD-9461A6A89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885568"/>
        <c:axId val="201887104"/>
      </c:lineChart>
      <c:catAx>
        <c:axId val="20188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887104"/>
        <c:crosses val="autoZero"/>
        <c:auto val="1"/>
        <c:lblAlgn val="ctr"/>
        <c:lblOffset val="100"/>
        <c:noMultiLvlLbl val="0"/>
      </c:catAx>
      <c:valAx>
        <c:axId val="201887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8855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28-43C9-8AE6-56CCFE22786C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28-43C9-8AE6-56CCFE22786C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28-43C9-8AE6-56CCFE227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375744"/>
        <c:axId val="203377280"/>
      </c:lineChart>
      <c:catAx>
        <c:axId val="203375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3377280"/>
        <c:crosses val="autoZero"/>
        <c:auto val="1"/>
        <c:lblAlgn val="ctr"/>
        <c:lblOffset val="100"/>
        <c:noMultiLvlLbl val="0"/>
      </c:catAx>
      <c:valAx>
        <c:axId val="203377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3375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361950</xdr:colOff>
      <xdr:row>9</xdr:row>
      <xdr:rowOff>123825</xdr:rowOff>
    </xdr:from>
    <xdr:to>
      <xdr:col>14</xdr:col>
      <xdr:colOff>838200</xdr:colOff>
      <xdr:row>16</xdr:row>
      <xdr:rowOff>66675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248525" y="1838325"/>
          <a:ext cx="3105150" cy="12763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000" b="1"/>
            <a:t>приход из книги "Расходы по агентам(годы-децили)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184438</xdr:colOff>
      <xdr:row>55</xdr:row>
      <xdr:rowOff>100099</xdr:rowOff>
    </xdr:from>
    <xdr:to>
      <xdr:col>37</xdr:col>
      <xdr:colOff>331643</xdr:colOff>
      <xdr:row>73</xdr:row>
      <xdr:rowOff>103736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536863</xdr:colOff>
      <xdr:row>124</xdr:row>
      <xdr:rowOff>223924</xdr:rowOff>
    </xdr:from>
    <xdr:to>
      <xdr:col>35</xdr:col>
      <xdr:colOff>74468</xdr:colOff>
      <xdr:row>142</xdr:row>
      <xdr:rowOff>37061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536863</xdr:colOff>
      <xdr:row>154</xdr:row>
      <xdr:rowOff>223924</xdr:rowOff>
    </xdr:from>
    <xdr:to>
      <xdr:col>35</xdr:col>
      <xdr:colOff>74468</xdr:colOff>
      <xdr:row>172</xdr:row>
      <xdr:rowOff>37061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536863</xdr:colOff>
      <xdr:row>183</xdr:row>
      <xdr:rowOff>223924</xdr:rowOff>
    </xdr:from>
    <xdr:to>
      <xdr:col>35</xdr:col>
      <xdr:colOff>74468</xdr:colOff>
      <xdr:row>201</xdr:row>
      <xdr:rowOff>37061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536863</xdr:colOff>
      <xdr:row>215</xdr:row>
      <xdr:rowOff>223924</xdr:rowOff>
    </xdr:from>
    <xdr:to>
      <xdr:col>35</xdr:col>
      <xdr:colOff>74468</xdr:colOff>
      <xdr:row>233</xdr:row>
      <xdr:rowOff>37061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536863</xdr:colOff>
      <xdr:row>244</xdr:row>
      <xdr:rowOff>223924</xdr:rowOff>
    </xdr:from>
    <xdr:to>
      <xdr:col>35</xdr:col>
      <xdr:colOff>74468</xdr:colOff>
      <xdr:row>262</xdr:row>
      <xdr:rowOff>37061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536863</xdr:colOff>
      <xdr:row>272</xdr:row>
      <xdr:rowOff>223924</xdr:rowOff>
    </xdr:from>
    <xdr:to>
      <xdr:col>35</xdr:col>
      <xdr:colOff>74468</xdr:colOff>
      <xdr:row>290</xdr:row>
      <xdr:rowOff>37061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536863</xdr:colOff>
      <xdr:row>301</xdr:row>
      <xdr:rowOff>223924</xdr:rowOff>
    </xdr:from>
    <xdr:to>
      <xdr:col>35</xdr:col>
      <xdr:colOff>74468</xdr:colOff>
      <xdr:row>319</xdr:row>
      <xdr:rowOff>37061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536863</xdr:colOff>
      <xdr:row>330</xdr:row>
      <xdr:rowOff>223924</xdr:rowOff>
    </xdr:from>
    <xdr:to>
      <xdr:col>35</xdr:col>
      <xdr:colOff>74468</xdr:colOff>
      <xdr:row>348</xdr:row>
      <xdr:rowOff>37061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536863</xdr:colOff>
      <xdr:row>359</xdr:row>
      <xdr:rowOff>223924</xdr:rowOff>
    </xdr:from>
    <xdr:to>
      <xdr:col>35</xdr:col>
      <xdr:colOff>74468</xdr:colOff>
      <xdr:row>377</xdr:row>
      <xdr:rowOff>37061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536863</xdr:colOff>
      <xdr:row>388</xdr:row>
      <xdr:rowOff>223924</xdr:rowOff>
    </xdr:from>
    <xdr:to>
      <xdr:col>35</xdr:col>
      <xdr:colOff>74468</xdr:colOff>
      <xdr:row>406</xdr:row>
      <xdr:rowOff>37061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536863</xdr:colOff>
      <xdr:row>417</xdr:row>
      <xdr:rowOff>223924</xdr:rowOff>
    </xdr:from>
    <xdr:to>
      <xdr:col>35</xdr:col>
      <xdr:colOff>74468</xdr:colOff>
      <xdr:row>435</xdr:row>
      <xdr:rowOff>37061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24</xdr:col>
      <xdr:colOff>536863</xdr:colOff>
      <xdr:row>446</xdr:row>
      <xdr:rowOff>223924</xdr:rowOff>
    </xdr:from>
    <xdr:to>
      <xdr:col>35</xdr:col>
      <xdr:colOff>74468</xdr:colOff>
      <xdr:row>464</xdr:row>
      <xdr:rowOff>37061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24</xdr:col>
      <xdr:colOff>536863</xdr:colOff>
      <xdr:row>475</xdr:row>
      <xdr:rowOff>223924</xdr:rowOff>
    </xdr:from>
    <xdr:to>
      <xdr:col>35</xdr:col>
      <xdr:colOff>74468</xdr:colOff>
      <xdr:row>493</xdr:row>
      <xdr:rowOff>37061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24</xdr:col>
      <xdr:colOff>536863</xdr:colOff>
      <xdr:row>86</xdr:row>
      <xdr:rowOff>223924</xdr:rowOff>
    </xdr:from>
    <xdr:to>
      <xdr:col>35</xdr:col>
      <xdr:colOff>74468</xdr:colOff>
      <xdr:row>105</xdr:row>
      <xdr:rowOff>37061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24</xdr:col>
      <xdr:colOff>536863</xdr:colOff>
      <xdr:row>119</xdr:row>
      <xdr:rowOff>223924</xdr:rowOff>
    </xdr:from>
    <xdr:to>
      <xdr:col>35</xdr:col>
      <xdr:colOff>74468</xdr:colOff>
      <xdr:row>138</xdr:row>
      <xdr:rowOff>37061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24</xdr:col>
      <xdr:colOff>536863</xdr:colOff>
      <xdr:row>157</xdr:row>
      <xdr:rowOff>223924</xdr:rowOff>
    </xdr:from>
    <xdr:to>
      <xdr:col>35</xdr:col>
      <xdr:colOff>74468</xdr:colOff>
      <xdr:row>175</xdr:row>
      <xdr:rowOff>37061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24</xdr:col>
      <xdr:colOff>536863</xdr:colOff>
      <xdr:row>152</xdr:row>
      <xdr:rowOff>223924</xdr:rowOff>
    </xdr:from>
    <xdr:to>
      <xdr:col>35</xdr:col>
      <xdr:colOff>74468</xdr:colOff>
      <xdr:row>171</xdr:row>
      <xdr:rowOff>37061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24</xdr:col>
      <xdr:colOff>536863</xdr:colOff>
      <xdr:row>186</xdr:row>
      <xdr:rowOff>223924</xdr:rowOff>
    </xdr:from>
    <xdr:to>
      <xdr:col>35</xdr:col>
      <xdr:colOff>74468</xdr:colOff>
      <xdr:row>204</xdr:row>
      <xdr:rowOff>37061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24</xdr:col>
      <xdr:colOff>536863</xdr:colOff>
      <xdr:row>189</xdr:row>
      <xdr:rowOff>223924</xdr:rowOff>
    </xdr:from>
    <xdr:to>
      <xdr:col>35</xdr:col>
      <xdr:colOff>74468</xdr:colOff>
      <xdr:row>207</xdr:row>
      <xdr:rowOff>37061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24</xdr:col>
      <xdr:colOff>536863</xdr:colOff>
      <xdr:row>184</xdr:row>
      <xdr:rowOff>223924</xdr:rowOff>
    </xdr:from>
    <xdr:to>
      <xdr:col>35</xdr:col>
      <xdr:colOff>74468</xdr:colOff>
      <xdr:row>203</xdr:row>
      <xdr:rowOff>37061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1295400</xdr:colOff>
      <xdr:row>6</xdr:row>
      <xdr:rowOff>28575</xdr:rowOff>
    </xdr:from>
    <xdr:to>
      <xdr:col>8</xdr:col>
      <xdr:colOff>962025</xdr:colOff>
      <xdr:row>10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4295775" y="1181100"/>
          <a:ext cx="6124575" cy="9620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000" b="1">
              <a:solidFill>
                <a:sysClr val="windowText" lastClr="000000"/>
              </a:solidFill>
            </a:rPr>
            <a:t>!!!!!!!!! всё в</a:t>
          </a:r>
          <a:r>
            <a:rPr lang="ru-RU" sz="2000" b="1" baseline="0">
              <a:solidFill>
                <a:sysClr val="windowText" lastClr="000000"/>
              </a:solidFill>
            </a:rPr>
            <a:t> книге "Доходы по агентам годы-децили"</a:t>
          </a:r>
          <a:endParaRPr lang="ru-RU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</xdr:row>
      <xdr:rowOff>0</xdr:rowOff>
    </xdr:from>
    <xdr:to>
      <xdr:col>8</xdr:col>
      <xdr:colOff>1145598</xdr:colOff>
      <xdr:row>9</xdr:row>
      <xdr:rowOff>165389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4173682" y="1402773"/>
          <a:ext cx="6124575" cy="9620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000" b="1">
              <a:solidFill>
                <a:sysClr val="windowText" lastClr="000000"/>
              </a:solidFill>
            </a:rPr>
            <a:t>!!!!!!!!! всё в</a:t>
          </a:r>
          <a:r>
            <a:rPr lang="ru-RU" sz="2000" b="1" baseline="0">
              <a:solidFill>
                <a:sysClr val="windowText" lastClr="000000"/>
              </a:solidFill>
            </a:rPr>
            <a:t> книге "Расходы по агентам годы-децили"</a:t>
          </a:r>
          <a:endParaRPr lang="ru-RU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1409700</xdr:colOff>
      <xdr:row>10</xdr:row>
      <xdr:rowOff>104775</xdr:rowOff>
    </xdr:from>
    <xdr:to>
      <xdr:col>12</xdr:col>
      <xdr:colOff>95250</xdr:colOff>
      <xdr:row>28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9001125" y="3390900"/>
          <a:ext cx="6562725" cy="346710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Население делится на 10 частей по уровню дохода.</a:t>
          </a:r>
        </a:p>
        <a:p>
          <a:r>
            <a:rPr lang="ru-RU" sz="1100"/>
            <a:t>Из модели демографии берём кол-во </a:t>
          </a:r>
        </a:p>
        <a:p>
          <a:r>
            <a:rPr lang="ru-RU" sz="1100"/>
            <a:t>При изменении уровня дохода ДХ перемещается в другую дециль</a:t>
          </a:r>
        </a:p>
        <a:p>
          <a:r>
            <a:rPr lang="ru-RU" sz="1100"/>
            <a:t>Функция</a:t>
          </a:r>
          <a:r>
            <a:rPr lang="ru-RU" sz="1100" baseline="0"/>
            <a:t> распределения внутри дециля в каждой децили разная?</a:t>
          </a:r>
        </a:p>
        <a:p>
          <a:r>
            <a:rPr lang="ru-RU" sz="1100" baseline="0"/>
            <a:t>Популяция  </a:t>
          </a:r>
          <a:r>
            <a:rPr lang="en-US" sz="1100" baseline="0"/>
            <a:t>I</a:t>
          </a:r>
          <a:r>
            <a:rPr lang="ru-RU" sz="1100" baseline="0"/>
            <a:t>=дециль </a:t>
          </a:r>
          <a:endParaRPr lang="en-US" sz="1100" baseline="0"/>
        </a:p>
        <a:p>
          <a:r>
            <a:rPr lang="ru-RU" sz="1100" baseline="0"/>
            <a:t>Популяцию разбили на </a:t>
          </a:r>
          <a:r>
            <a:rPr lang="en-US" sz="1100" baseline="0"/>
            <a:t>1000 </a:t>
          </a:r>
          <a:r>
            <a:rPr lang="ru-RU" sz="1100" baseline="0"/>
            <a:t>агентов</a:t>
          </a:r>
        </a:p>
        <a:p>
          <a:r>
            <a:rPr lang="ru-RU" sz="1100" baseline="0"/>
            <a:t>Считаем что каждый агент единообразно мыслит</a:t>
          </a:r>
        </a:p>
        <a:p>
          <a:endParaRPr lang="ru-RU" sz="1100"/>
        </a:p>
        <a:p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536863</xdr:colOff>
      <xdr:row>6</xdr:row>
      <xdr:rowOff>223924</xdr:rowOff>
    </xdr:from>
    <xdr:to>
      <xdr:col>35</xdr:col>
      <xdr:colOff>74468</xdr:colOff>
      <xdr:row>25</xdr:row>
      <xdr:rowOff>37061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2;&#1086;&#1076;&#1077;&#1083;&#1100;%20&#1044;&#1061;%20&#1074;%20AL/&#1056;&#1072;&#1089;&#1093;&#1086;&#1076;&#1099;%20&#1087;&#1086;%20&#1072;&#1075;&#1077;&#1085;&#1090;&#1072;&#1084;%20(&#1075;&#1086;&#1076;&#1099;-&#1076;&#1077;&#1094;&#1080;&#1083;&#1080;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1;&#1044;_&#1057;&#1086;&#1094;_&#1089;&#1092;&#1077;&#1088;&#1072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90;&#1077;&#1084;&#1087;&#1099;%20&#1088;&#1086;&#1089;&#1090;&#1072;%20&#1089;&#1088;&#1072;&#1074;&#1085;&#1077;&#1085;&#1080;&#1077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6"/>
      <sheetName val="2017"/>
      <sheetName val="2018"/>
      <sheetName val="2019"/>
      <sheetName val="2020"/>
      <sheetName val="2021"/>
      <sheetName val="2022"/>
      <sheetName val="2023"/>
      <sheetName val="2024"/>
      <sheetName val="2025"/>
      <sheetName val="2026"/>
      <sheetName val="2027"/>
      <sheetName val="2028"/>
      <sheetName val="2029"/>
      <sheetName val="2030"/>
      <sheetName val="свод"/>
    </sheetNames>
    <sheetDataSet>
      <sheetData sheetId="0">
        <row r="964">
          <cell r="M964">
            <v>51382.333814834201</v>
          </cell>
        </row>
        <row r="965">
          <cell r="M965">
            <v>20677.755457597261</v>
          </cell>
        </row>
      </sheetData>
      <sheetData sheetId="1">
        <row r="964">
          <cell r="M964">
            <v>41367.444935477644</v>
          </cell>
        </row>
        <row r="965">
          <cell r="M965">
            <v>26637.673225446259</v>
          </cell>
        </row>
      </sheetData>
      <sheetData sheetId="2">
        <row r="964">
          <cell r="M964">
            <v>54355.826054517558</v>
          </cell>
        </row>
        <row r="965">
          <cell r="M965">
            <v>42528.102048475688</v>
          </cell>
        </row>
      </sheetData>
      <sheetData sheetId="3">
        <row r="964">
          <cell r="M964">
            <v>41524.980899683731</v>
          </cell>
        </row>
        <row r="965">
          <cell r="M965">
            <v>30283.489657136939</v>
          </cell>
        </row>
      </sheetData>
      <sheetData sheetId="4">
        <row r="964">
          <cell r="M964">
            <v>53753.180387553512</v>
          </cell>
        </row>
        <row r="965">
          <cell r="M965">
            <v>24087.595027840965</v>
          </cell>
        </row>
      </sheetData>
      <sheetData sheetId="5">
        <row r="964">
          <cell r="M964">
            <v>39037.104910652488</v>
          </cell>
        </row>
        <row r="965">
          <cell r="M965">
            <v>12093.102311229624</v>
          </cell>
        </row>
      </sheetData>
      <sheetData sheetId="6">
        <row r="964">
          <cell r="M964">
            <v>50380.530822152839</v>
          </cell>
        </row>
        <row r="965">
          <cell r="M965">
            <v>19196.015236857322</v>
          </cell>
        </row>
      </sheetData>
      <sheetData sheetId="7">
        <row r="964">
          <cell r="M964">
            <v>44750.820909502501</v>
          </cell>
        </row>
        <row r="965">
          <cell r="M965">
            <v>13166.385079230933</v>
          </cell>
        </row>
      </sheetData>
      <sheetData sheetId="8">
        <row r="964">
          <cell r="M964">
            <v>58460.453570082507</v>
          </cell>
        </row>
        <row r="965">
          <cell r="M965">
            <v>13140.390019060793</v>
          </cell>
        </row>
      </sheetData>
      <sheetData sheetId="9">
        <row r="964">
          <cell r="M964">
            <v>53613.571036984846</v>
          </cell>
        </row>
        <row r="965">
          <cell r="M965">
            <v>13181.22651360268</v>
          </cell>
        </row>
      </sheetData>
      <sheetData sheetId="10">
        <row r="964">
          <cell r="M964">
            <v>39003.364441146536</v>
          </cell>
        </row>
        <row r="965">
          <cell r="M965">
            <v>15049.514484709092</v>
          </cell>
        </row>
      </sheetData>
      <sheetData sheetId="11">
        <row r="964">
          <cell r="M964">
            <v>73371.107556305942</v>
          </cell>
        </row>
        <row r="965">
          <cell r="M965">
            <v>23362.42607226974</v>
          </cell>
        </row>
      </sheetData>
      <sheetData sheetId="12">
        <row r="964">
          <cell r="M964">
            <v>74363.753240636812</v>
          </cell>
        </row>
        <row r="965">
          <cell r="M965">
            <v>13470.784345992812</v>
          </cell>
        </row>
      </sheetData>
      <sheetData sheetId="13">
        <row r="964">
          <cell r="M964">
            <v>42770.929201680425</v>
          </cell>
        </row>
        <row r="965">
          <cell r="M965">
            <v>26401.261392929577</v>
          </cell>
        </row>
      </sheetData>
      <sheetData sheetId="14">
        <row r="964">
          <cell r="M964">
            <v>33374.964221558141</v>
          </cell>
        </row>
        <row r="965">
          <cell r="M965">
            <v>49829.411826567622</v>
          </cell>
        </row>
      </sheetData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равка"/>
      <sheetName val="Комментарии"/>
      <sheetName val="НачСост_НС_БД "/>
      <sheetName val="ГрСцЭкс"/>
      <sheetName val="Графики(МОИТ)"/>
      <sheetName val="МОИТ 2"/>
      <sheetName val="интерфейс"/>
      <sheetName val="Графики-2"/>
      <sheetName val="гипотезы"/>
      <sheetName val="Сценарии"/>
      <sheetName val="Графики-1"/>
      <sheetName val="индексы_цен"/>
      <sheetName val="КраевойБюджет"/>
      <sheetName val="модель внешнего мира"/>
      <sheetName val="Демография"/>
      <sheetName val="Лист1"/>
      <sheetName val="Лист2"/>
    </sheetNames>
    <sheetDataSet>
      <sheetData sheetId="0" refreshError="1"/>
      <sheetData sheetId="1" refreshError="1"/>
      <sheetData sheetId="2">
        <row r="11">
          <cell r="C11">
            <v>1</v>
          </cell>
        </row>
      </sheetData>
      <sheetData sheetId="3">
        <row r="2">
          <cell r="C2">
            <v>4</v>
          </cell>
        </row>
      </sheetData>
      <sheetData sheetId="4" refreshError="1"/>
      <sheetData sheetId="5" refreshError="1"/>
      <sheetData sheetId="6">
        <row r="4">
          <cell r="L4">
            <v>2.2680776441803925</v>
          </cell>
        </row>
        <row r="276">
          <cell r="D276">
            <v>11165.3</v>
          </cell>
          <cell r="E276">
            <v>12753.4</v>
          </cell>
          <cell r="F276">
            <v>15290.7</v>
          </cell>
          <cell r="G276">
            <v>21737.5</v>
          </cell>
          <cell r="H276">
            <v>27642.2</v>
          </cell>
          <cell r="I276">
            <v>35754</v>
          </cell>
          <cell r="J276">
            <v>41572</v>
          </cell>
          <cell r="K276">
            <v>45939.1</v>
          </cell>
          <cell r="L276">
            <v>53156.9</v>
          </cell>
          <cell r="M276">
            <v>54517.7</v>
          </cell>
          <cell r="N276">
            <v>62632.7</v>
          </cell>
          <cell r="O276">
            <v>65759.199999999997</v>
          </cell>
          <cell r="P276">
            <v>65759.199999999997</v>
          </cell>
          <cell r="Q276">
            <v>83247.619229776727</v>
          </cell>
          <cell r="R276">
            <v>96483.601750244794</v>
          </cell>
          <cell r="S276">
            <v>101514.38408232717</v>
          </cell>
          <cell r="T276">
            <v>114422.99807066527</v>
          </cell>
          <cell r="U276">
            <v>128228.70603023698</v>
          </cell>
          <cell r="V276">
            <v>145407.35815344364</v>
          </cell>
          <cell r="W276">
            <v>166443.63881064852</v>
          </cell>
          <cell r="X276">
            <v>190044.81148571536</v>
          </cell>
          <cell r="Y276">
            <v>216857.38181821327</v>
          </cell>
          <cell r="Z276">
            <v>243183.00291699715</v>
          </cell>
          <cell r="AA276">
            <v>270219.57109688094</v>
          </cell>
          <cell r="AB276">
            <v>300321.66677971295</v>
          </cell>
          <cell r="AC276">
            <v>333841.25180983444</v>
          </cell>
          <cell r="AD276">
            <v>371170.99569675134</v>
          </cell>
        </row>
        <row r="292">
          <cell r="D292">
            <v>31067.900000000005</v>
          </cell>
          <cell r="E292">
            <v>38872.173827073428</v>
          </cell>
          <cell r="F292">
            <v>48929.779295014247</v>
          </cell>
          <cell r="G292">
            <v>66951.845777282229</v>
          </cell>
          <cell r="H292">
            <v>72275.169581863433</v>
          </cell>
          <cell r="I292">
            <v>80513.824901395914</v>
          </cell>
          <cell r="J292">
            <v>90770.469111750877</v>
          </cell>
          <cell r="K292">
            <v>108901.65988962441</v>
          </cell>
          <cell r="L292">
            <v>115693.22098960466</v>
          </cell>
          <cell r="M292">
            <v>119259.75818616492</v>
          </cell>
          <cell r="N292">
            <v>121554.43213086081</v>
          </cell>
          <cell r="O292">
            <v>120765.62601935625</v>
          </cell>
          <cell r="P292">
            <v>121969.46201650106</v>
          </cell>
          <cell r="Q292">
            <v>151266.11770772299</v>
          </cell>
          <cell r="R292">
            <v>168119.43221212894</v>
          </cell>
          <cell r="S292">
            <v>183504.88205102194</v>
          </cell>
          <cell r="T292">
            <v>197285.63993084859</v>
          </cell>
          <cell r="U292">
            <v>210825.35339930272</v>
          </cell>
          <cell r="V292">
            <v>227916.43773600069</v>
          </cell>
          <cell r="W292">
            <v>248660.82210763716</v>
          </cell>
          <cell r="X292">
            <v>270551.05592982768</v>
          </cell>
          <cell r="Y292">
            <v>294120.67932437209</v>
          </cell>
          <cell r="Z292">
            <v>314159.85650843987</v>
          </cell>
          <cell r="AA292">
            <v>332438.46235974209</v>
          </cell>
          <cell r="AB292">
            <v>351780.56319598778</v>
          </cell>
          <cell r="AC292">
            <v>372248.03581413825</v>
          </cell>
          <cell r="AD292">
            <v>393906.35715789435</v>
          </cell>
        </row>
        <row r="297">
          <cell r="Q297">
            <v>151266.11770772299</v>
          </cell>
          <cell r="R297">
            <v>168119.43221212894</v>
          </cell>
          <cell r="S297">
            <v>183504.88205102194</v>
          </cell>
          <cell r="T297">
            <v>197285.63993084859</v>
          </cell>
          <cell r="U297">
            <v>210825.35339930272</v>
          </cell>
          <cell r="V297">
            <v>227916.43773600069</v>
          </cell>
          <cell r="W297">
            <v>248660.82210763716</v>
          </cell>
          <cell r="X297">
            <v>270551.05592982768</v>
          </cell>
          <cell r="Y297">
            <v>294120.67932437209</v>
          </cell>
          <cell r="Z297">
            <v>314159.85650843987</v>
          </cell>
          <cell r="AA297">
            <v>332438.46235974209</v>
          </cell>
          <cell r="AB297">
            <v>351780.56319598778</v>
          </cell>
          <cell r="AC297">
            <v>372248.03581413825</v>
          </cell>
          <cell r="AD297">
            <v>393906.35715789435</v>
          </cell>
        </row>
        <row r="323">
          <cell r="Q323">
            <v>109784.96400000002</v>
          </cell>
          <cell r="R323">
            <v>121861.31004000004</v>
          </cell>
          <cell r="S323">
            <v>132828.82794360004</v>
          </cell>
          <cell r="T323">
            <v>142126.84589965205</v>
          </cell>
          <cell r="U323">
            <v>150654.45665363118</v>
          </cell>
          <cell r="V323">
            <v>164213.35775245799</v>
          </cell>
          <cell r="W323">
            <v>180634.69352770381</v>
          </cell>
          <cell r="X323">
            <v>196891.81594519719</v>
          </cell>
          <cell r="Y323">
            <v>213273.21503183755</v>
          </cell>
          <cell r="Z323">
            <v>228202.34008406621</v>
          </cell>
          <cell r="AA323">
            <v>241894.4804891102</v>
          </cell>
          <cell r="AB323">
            <v>256408.14931845682</v>
          </cell>
          <cell r="AC323">
            <v>271792.63827756426</v>
          </cell>
          <cell r="AD323">
            <v>288100.19657421811</v>
          </cell>
        </row>
      </sheetData>
      <sheetData sheetId="7" refreshError="1"/>
      <sheetData sheetId="8" refreshError="1"/>
      <sheetData sheetId="9">
        <row r="14">
          <cell r="C14" t="str">
            <v>ScenInflPPP[3;25]</v>
          </cell>
        </row>
        <row r="22">
          <cell r="G22">
            <v>2006</v>
          </cell>
          <cell r="H22">
            <v>2007</v>
          </cell>
          <cell r="I22">
            <v>2008</v>
          </cell>
          <cell r="J22">
            <v>2009</v>
          </cell>
          <cell r="K22">
            <v>2010</v>
          </cell>
          <cell r="L22">
            <v>2011</v>
          </cell>
          <cell r="M22">
            <v>2012</v>
          </cell>
          <cell r="N22">
            <v>2013</v>
          </cell>
          <cell r="O22">
            <v>2014</v>
          </cell>
          <cell r="P22">
            <v>2015</v>
          </cell>
          <cell r="Q22">
            <v>2016</v>
          </cell>
          <cell r="R22">
            <v>2017</v>
          </cell>
          <cell r="S22">
            <v>2018</v>
          </cell>
          <cell r="T22">
            <v>2019</v>
          </cell>
          <cell r="U22">
            <v>2020</v>
          </cell>
          <cell r="V22">
            <v>2021</v>
          </cell>
          <cell r="W22">
            <v>2022</v>
          </cell>
          <cell r="X22">
            <v>2023</v>
          </cell>
          <cell r="Y22">
            <v>2024</v>
          </cell>
          <cell r="Z22">
            <v>2025</v>
          </cell>
          <cell r="AA22">
            <v>2026</v>
          </cell>
          <cell r="AB22">
            <v>2027</v>
          </cell>
          <cell r="AC22">
            <v>2028</v>
          </cell>
          <cell r="AD22">
            <v>2029</v>
          </cell>
          <cell r="AE22">
            <v>2030</v>
          </cell>
        </row>
        <row r="23">
          <cell r="G23">
            <v>9</v>
          </cell>
          <cell r="H23">
            <v>10.9</v>
          </cell>
          <cell r="I23">
            <v>12.6</v>
          </cell>
          <cell r="J23">
            <v>11.4</v>
          </cell>
          <cell r="K23">
            <v>9</v>
          </cell>
          <cell r="L23">
            <v>7.2</v>
          </cell>
          <cell r="M23">
            <v>8.92</v>
          </cell>
          <cell r="N23">
            <v>8.32</v>
          </cell>
          <cell r="O23">
            <v>11</v>
          </cell>
          <cell r="P23">
            <v>15</v>
          </cell>
          <cell r="Q23">
            <v>15</v>
          </cell>
          <cell r="R23">
            <v>16</v>
          </cell>
          <cell r="S23">
            <v>13</v>
          </cell>
          <cell r="T23">
            <v>9</v>
          </cell>
          <cell r="U23">
            <v>7</v>
          </cell>
          <cell r="V23">
            <v>6</v>
          </cell>
          <cell r="W23">
            <v>5</v>
          </cell>
          <cell r="X23">
            <v>7</v>
          </cell>
          <cell r="Y23">
            <v>8</v>
          </cell>
          <cell r="Z23">
            <v>7</v>
          </cell>
          <cell r="AA23">
            <v>5.92</v>
          </cell>
          <cell r="AB23">
            <v>5</v>
          </cell>
          <cell r="AC23">
            <v>5</v>
          </cell>
          <cell r="AD23">
            <v>5</v>
          </cell>
          <cell r="AE23">
            <v>5</v>
          </cell>
        </row>
        <row r="24">
          <cell r="G24">
            <v>9</v>
          </cell>
          <cell r="H24">
            <v>10.9</v>
          </cell>
          <cell r="I24">
            <v>12.6</v>
          </cell>
          <cell r="J24">
            <v>11.4</v>
          </cell>
          <cell r="K24">
            <v>9</v>
          </cell>
          <cell r="L24">
            <v>7.2</v>
          </cell>
          <cell r="M24">
            <v>8.92</v>
          </cell>
          <cell r="N24">
            <v>8.32</v>
          </cell>
          <cell r="O24">
            <v>11</v>
          </cell>
          <cell r="P24">
            <v>15</v>
          </cell>
          <cell r="Q24">
            <v>16.5</v>
          </cell>
          <cell r="R24">
            <v>17</v>
          </cell>
          <cell r="S24">
            <v>14</v>
          </cell>
          <cell r="T24">
            <v>11</v>
          </cell>
          <cell r="U24">
            <v>9</v>
          </cell>
          <cell r="V24">
            <v>7</v>
          </cell>
          <cell r="W24">
            <v>6</v>
          </cell>
          <cell r="X24">
            <v>9</v>
          </cell>
          <cell r="Y24">
            <v>10</v>
          </cell>
          <cell r="Z24">
            <v>9</v>
          </cell>
          <cell r="AA24">
            <v>8.32</v>
          </cell>
          <cell r="AB24">
            <v>7</v>
          </cell>
          <cell r="AC24">
            <v>6</v>
          </cell>
          <cell r="AD24">
            <v>6</v>
          </cell>
          <cell r="AE24">
            <v>6</v>
          </cell>
        </row>
        <row r="25">
          <cell r="G25">
            <v>9</v>
          </cell>
          <cell r="H25">
            <v>10.9</v>
          </cell>
          <cell r="I25">
            <v>12.6</v>
          </cell>
          <cell r="J25">
            <v>11.4</v>
          </cell>
          <cell r="K25">
            <v>9</v>
          </cell>
          <cell r="L25">
            <v>7.2</v>
          </cell>
          <cell r="M25">
            <v>8.92</v>
          </cell>
          <cell r="N25">
            <v>8.32</v>
          </cell>
          <cell r="O25">
            <v>11</v>
          </cell>
          <cell r="P25">
            <v>15</v>
          </cell>
          <cell r="Q25">
            <v>18</v>
          </cell>
          <cell r="R25">
            <v>18</v>
          </cell>
          <cell r="S25">
            <v>16</v>
          </cell>
          <cell r="T25">
            <v>14</v>
          </cell>
          <cell r="U25">
            <v>12</v>
          </cell>
          <cell r="V25">
            <v>10</v>
          </cell>
          <cell r="W25">
            <v>8</v>
          </cell>
          <cell r="X25">
            <v>11</v>
          </cell>
          <cell r="Y25">
            <v>12.5</v>
          </cell>
          <cell r="Z25">
            <v>11</v>
          </cell>
          <cell r="AA25">
            <v>9.52</v>
          </cell>
          <cell r="AB25">
            <v>8</v>
          </cell>
          <cell r="AC25">
            <v>8</v>
          </cell>
          <cell r="AD25">
            <v>8</v>
          </cell>
          <cell r="AE25">
            <v>8</v>
          </cell>
        </row>
      </sheetData>
      <sheetData sheetId="10" refreshError="1"/>
      <sheetData sheetId="11">
        <row r="6">
          <cell r="E6">
            <v>1.1679999999999999</v>
          </cell>
        </row>
      </sheetData>
      <sheetData sheetId="12" refreshError="1"/>
      <sheetData sheetId="13">
        <row r="7">
          <cell r="D7">
            <v>2714500</v>
          </cell>
        </row>
      </sheetData>
      <sheetData sheetId="14">
        <row r="52">
          <cell r="C52">
            <v>1134.087</v>
          </cell>
        </row>
      </sheetData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Зар плата"/>
      <sheetName val="Тарифы"/>
      <sheetName val="Вспомогательный"/>
      <sheetName val="З_Плата"/>
      <sheetName val="ГИПЕР-Пульт"/>
      <sheetName val="Графики-отклонение"/>
      <sheetName val="График-всё"/>
      <sheetName val="Графики-доли бюджета"/>
      <sheetName val="График-эксперименты"/>
      <sheetName val="Графики рост ЗП"/>
      <sheetName val="Графики рост тарифов"/>
      <sheetName val="Графики_ЗП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D3">
            <v>2</v>
          </cell>
        </row>
      </sheetData>
      <sheetData sheetId="5" refreshError="1"/>
      <sheetData sheetId="6">
        <row r="3">
          <cell r="C3">
            <v>2006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U28"/>
  <sheetViews>
    <sheetView workbookViewId="0">
      <selection activeCell="O28" sqref="O28"/>
    </sheetView>
  </sheetViews>
  <sheetFormatPr defaultRowHeight="15" x14ac:dyDescent="0.25"/>
  <cols>
    <col min="6" max="6" width="14.42578125" customWidth="1"/>
    <col min="7" max="7" width="13.42578125" customWidth="1"/>
    <col min="8" max="8" width="18.140625" bestFit="1" customWidth="1"/>
    <col min="9" max="21" width="13.140625" bestFit="1" customWidth="1"/>
  </cols>
  <sheetData>
    <row r="2" spans="2:21" x14ac:dyDescent="0.25">
      <c r="H2" s="6">
        <v>250000</v>
      </c>
    </row>
    <row r="4" spans="2:21" x14ac:dyDescent="0.25">
      <c r="B4" t="s">
        <v>186</v>
      </c>
      <c r="H4">
        <v>1</v>
      </c>
      <c r="I4">
        <v>2</v>
      </c>
      <c r="J4">
        <v>3</v>
      </c>
      <c r="K4">
        <v>4</v>
      </c>
      <c r="L4">
        <v>3</v>
      </c>
      <c r="M4">
        <v>4</v>
      </c>
      <c r="N4">
        <v>3</v>
      </c>
      <c r="O4">
        <v>4</v>
      </c>
      <c r="P4">
        <v>3</v>
      </c>
      <c r="Q4">
        <v>4</v>
      </c>
      <c r="R4">
        <v>3</v>
      </c>
      <c r="S4">
        <v>4</v>
      </c>
      <c r="T4">
        <v>3</v>
      </c>
      <c r="U4">
        <v>4</v>
      </c>
    </row>
    <row r="5" spans="2:21" x14ac:dyDescent="0.25">
      <c r="H5" s="81">
        <v>14</v>
      </c>
      <c r="I5" s="81">
        <v>15</v>
      </c>
      <c r="J5" s="81">
        <v>16</v>
      </c>
      <c r="K5" s="81">
        <v>17</v>
      </c>
      <c r="L5" s="81">
        <v>18</v>
      </c>
      <c r="M5" s="81">
        <v>19</v>
      </c>
      <c r="N5" s="81">
        <v>20</v>
      </c>
      <c r="O5" s="81">
        <v>21</v>
      </c>
      <c r="P5" s="81">
        <v>22</v>
      </c>
      <c r="Q5" s="81">
        <v>23</v>
      </c>
      <c r="R5" s="81">
        <v>24</v>
      </c>
      <c r="S5" s="81">
        <v>25</v>
      </c>
      <c r="T5" s="81">
        <v>26</v>
      </c>
      <c r="U5" s="81">
        <v>27</v>
      </c>
    </row>
    <row r="6" spans="2:21" x14ac:dyDescent="0.25">
      <c r="D6" t="s">
        <v>142</v>
      </c>
      <c r="F6">
        <v>2016</v>
      </c>
      <c r="G6">
        <v>2017</v>
      </c>
      <c r="H6">
        <v>2018</v>
      </c>
      <c r="I6">
        <v>2019</v>
      </c>
      <c r="J6">
        <v>2020</v>
      </c>
      <c r="K6">
        <v>2021</v>
      </c>
      <c r="L6">
        <v>2022</v>
      </c>
      <c r="M6">
        <v>2023</v>
      </c>
      <c r="N6">
        <v>2024</v>
      </c>
      <c r="O6">
        <v>2025</v>
      </c>
      <c r="P6">
        <v>2026</v>
      </c>
      <c r="Q6">
        <v>2027</v>
      </c>
      <c r="R6">
        <v>2028</v>
      </c>
      <c r="S6">
        <v>2029</v>
      </c>
      <c r="T6">
        <v>2030</v>
      </c>
      <c r="U6">
        <v>2031</v>
      </c>
    </row>
    <row r="7" spans="2:21" x14ac:dyDescent="0.25">
      <c r="B7" s="88" t="s">
        <v>141</v>
      </c>
      <c r="F7" s="87">
        <f>'[1]2016'!$M$964</f>
        <v>51382.333814834201</v>
      </c>
      <c r="G7" s="87">
        <f>'[1]2017'!$M$964</f>
        <v>41367.444935477644</v>
      </c>
      <c r="H7" s="87">
        <f>'[1]2018'!$M$964</f>
        <v>54355.826054517558</v>
      </c>
      <c r="I7" s="87">
        <f>'[1]2019'!$M$964</f>
        <v>41524.980899683731</v>
      </c>
      <c r="J7" s="87">
        <f>'[1]2020'!$M$964</f>
        <v>53753.180387553512</v>
      </c>
      <c r="K7" s="87">
        <f>'[1]2021'!$M$964</f>
        <v>39037.104910652488</v>
      </c>
      <c r="L7" s="87">
        <f>'[1]2022'!$M$964</f>
        <v>50380.530822152839</v>
      </c>
      <c r="M7" s="87">
        <f>'[1]2023'!$M$964</f>
        <v>44750.820909502501</v>
      </c>
      <c r="N7" s="87">
        <f>'[1]2024'!$M$964</f>
        <v>58460.453570082507</v>
      </c>
      <c r="O7" s="87">
        <f>'[1]2025'!$M$964</f>
        <v>53613.571036984846</v>
      </c>
      <c r="P7" s="87">
        <f>'[1]2026'!$M$964</f>
        <v>39003.364441146536</v>
      </c>
      <c r="Q7" s="87">
        <f>'[1]2027'!$M$964</f>
        <v>73371.107556305942</v>
      </c>
      <c r="R7" s="87">
        <f>'[1]2028'!$M$964</f>
        <v>74363.753240636812</v>
      </c>
      <c r="S7" s="87">
        <f>'[1]2029'!$M$964</f>
        <v>42770.929201680425</v>
      </c>
      <c r="T7" s="87">
        <f>'[1]2030'!$M$964</f>
        <v>33374.964221558141</v>
      </c>
      <c r="U7" s="6"/>
    </row>
    <row r="8" spans="2:21" x14ac:dyDescent="0.25">
      <c r="B8" s="88" t="s">
        <v>72</v>
      </c>
      <c r="F8" s="87">
        <f>'[1]2016'!$M$965</f>
        <v>20677.755457597261</v>
      </c>
      <c r="G8" s="87">
        <f>'[1]2017'!$M$965</f>
        <v>26637.673225446259</v>
      </c>
      <c r="H8" s="87">
        <f>'[1]2018'!$M$965</f>
        <v>42528.102048475688</v>
      </c>
      <c r="I8" s="87">
        <f>'[1]2019'!$M$965</f>
        <v>30283.489657136939</v>
      </c>
      <c r="J8" s="87">
        <f>'[1]2020'!$M$965</f>
        <v>24087.595027840965</v>
      </c>
      <c r="K8" s="87">
        <f>'[1]2021'!$M$965</f>
        <v>12093.102311229624</v>
      </c>
      <c r="L8" s="87">
        <f>'[1]2022'!$M$965</f>
        <v>19196.015236857322</v>
      </c>
      <c r="M8" s="87">
        <f>'[1]2023'!$M$965</f>
        <v>13166.385079230933</v>
      </c>
      <c r="N8" s="87">
        <f>'[1]2024'!$M$965</f>
        <v>13140.390019060793</v>
      </c>
      <c r="O8" s="87">
        <f>'[1]2025'!$M$965</f>
        <v>13181.22651360268</v>
      </c>
      <c r="P8" s="87">
        <f>'[1]2026'!$M$965</f>
        <v>15049.514484709092</v>
      </c>
      <c r="Q8" s="87">
        <f>'[1]2027'!$M$965</f>
        <v>23362.42607226974</v>
      </c>
      <c r="R8" s="87">
        <f>'[1]2028'!$M$965</f>
        <v>13470.784345992812</v>
      </c>
      <c r="S8" s="87">
        <f>'[1]2029'!$M$965</f>
        <v>26401.261392929577</v>
      </c>
      <c r="T8" s="87">
        <f>'[1]2030'!$M$965</f>
        <v>49829.411826567622</v>
      </c>
      <c r="U8" s="6"/>
    </row>
    <row r="10" spans="2:21" x14ac:dyDescent="0.25">
      <c r="H10" s="6"/>
    </row>
    <row r="26" spans="15:15" x14ac:dyDescent="0.25">
      <c r="O26">
        <v>98</v>
      </c>
    </row>
    <row r="27" spans="15:15" x14ac:dyDescent="0.25">
      <c r="O27">
        <f>18*7+1</f>
        <v>127</v>
      </c>
    </row>
    <row r="28" spans="15:15" x14ac:dyDescent="0.25">
      <c r="O28">
        <f>O27-O26</f>
        <v>29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Q24"/>
  <sheetViews>
    <sheetView zoomScale="130" zoomScaleNormal="130" workbookViewId="0">
      <selection activeCell="B23" sqref="B23"/>
    </sheetView>
  </sheetViews>
  <sheetFormatPr defaultRowHeight="15" x14ac:dyDescent="0.25"/>
  <cols>
    <col min="2" max="2" width="20.42578125" customWidth="1"/>
    <col min="3" max="18" width="11.5703125" bestFit="1" customWidth="1"/>
    <col min="19" max="29" width="10" bestFit="1" customWidth="1"/>
  </cols>
  <sheetData>
    <row r="2" spans="2:10" x14ac:dyDescent="0.25">
      <c r="B2" s="21" t="s">
        <v>124</v>
      </c>
    </row>
    <row r="4" spans="2:10" x14ac:dyDescent="0.25">
      <c r="B4" t="s">
        <v>33</v>
      </c>
    </row>
    <row r="5" spans="2:10" x14ac:dyDescent="0.25">
      <c r="B5" t="s">
        <v>134</v>
      </c>
      <c r="F5" t="s">
        <v>125</v>
      </c>
    </row>
    <row r="6" spans="2:10" x14ac:dyDescent="0.25">
      <c r="B6" t="s">
        <v>14</v>
      </c>
      <c r="F6" t="s">
        <v>126</v>
      </c>
    </row>
    <row r="7" spans="2:10" x14ac:dyDescent="0.25">
      <c r="B7" t="s">
        <v>51</v>
      </c>
      <c r="F7" t="s">
        <v>127</v>
      </c>
    </row>
    <row r="9" spans="2:10" x14ac:dyDescent="0.25">
      <c r="B9" t="s">
        <v>78</v>
      </c>
      <c r="F9" t="s">
        <v>128</v>
      </c>
    </row>
    <row r="10" spans="2:10" x14ac:dyDescent="0.25">
      <c r="B10" t="s">
        <v>129</v>
      </c>
      <c r="F10" t="s">
        <v>130</v>
      </c>
    </row>
    <row r="12" spans="2:10" x14ac:dyDescent="0.25">
      <c r="B12" t="s">
        <v>131</v>
      </c>
      <c r="J12" t="s">
        <v>132</v>
      </c>
    </row>
    <row r="15" spans="2:10" x14ac:dyDescent="0.25">
      <c r="B15" t="s">
        <v>152</v>
      </c>
    </row>
    <row r="18" spans="2:17" x14ac:dyDescent="0.25">
      <c r="B18">
        <v>2016</v>
      </c>
      <c r="C18">
        <v>2017</v>
      </c>
      <c r="D18">
        <v>2018</v>
      </c>
      <c r="E18">
        <v>2019</v>
      </c>
      <c r="F18">
        <v>2020</v>
      </c>
      <c r="G18">
        <v>2021</v>
      </c>
      <c r="H18">
        <v>2022</v>
      </c>
      <c r="I18">
        <v>2023</v>
      </c>
      <c r="J18">
        <v>2024</v>
      </c>
      <c r="K18">
        <v>2025</v>
      </c>
      <c r="L18">
        <v>2026</v>
      </c>
      <c r="M18">
        <v>2027</v>
      </c>
      <c r="N18">
        <v>2028</v>
      </c>
      <c r="O18">
        <v>2029</v>
      </c>
      <c r="P18">
        <v>2030</v>
      </c>
    </row>
    <row r="19" spans="2:17" x14ac:dyDescent="0.25">
      <c r="B19" s="109">
        <v>11.8</v>
      </c>
      <c r="C19">
        <v>11.8</v>
      </c>
    </row>
    <row r="21" spans="2:17" x14ac:dyDescent="0.25">
      <c r="B21" t="s">
        <v>156</v>
      </c>
    </row>
    <row r="22" spans="2:17" x14ac:dyDescent="0.25">
      <c r="B22">
        <v>2016</v>
      </c>
      <c r="C22">
        <v>2017</v>
      </c>
      <c r="D22">
        <v>2018</v>
      </c>
      <c r="E22">
        <v>2019</v>
      </c>
      <c r="F22">
        <v>2020</v>
      </c>
      <c r="G22">
        <v>2021</v>
      </c>
      <c r="H22">
        <v>2022</v>
      </c>
      <c r="I22">
        <v>2023</v>
      </c>
      <c r="J22">
        <v>2024</v>
      </c>
      <c r="K22">
        <v>2025</v>
      </c>
      <c r="L22">
        <v>2026</v>
      </c>
      <c r="M22">
        <v>2027</v>
      </c>
      <c r="N22">
        <v>2028</v>
      </c>
      <c r="O22">
        <v>2029</v>
      </c>
      <c r="P22">
        <v>2030</v>
      </c>
    </row>
    <row r="23" spans="2:17" x14ac:dyDescent="0.25">
      <c r="B23">
        <v>1059.835</v>
      </c>
      <c r="C23">
        <v>1049.913</v>
      </c>
      <c r="D23">
        <v>1038.808</v>
      </c>
      <c r="E23">
        <v>1026.4010000000001</v>
      </c>
      <c r="F23">
        <v>1013.885</v>
      </c>
      <c r="G23">
        <v>999.85299999999995</v>
      </c>
      <c r="H23">
        <v>984.61300000000006</v>
      </c>
      <c r="I23">
        <v>967.98599999999999</v>
      </c>
      <c r="J23">
        <v>949.79499999999996</v>
      </c>
      <c r="K23">
        <v>931.62300000000005</v>
      </c>
      <c r="L23">
        <v>920</v>
      </c>
      <c r="M23">
        <v>910</v>
      </c>
      <c r="N23">
        <v>900</v>
      </c>
      <c r="O23">
        <v>895</v>
      </c>
      <c r="P23">
        <v>889</v>
      </c>
      <c r="Q23">
        <v>889</v>
      </c>
    </row>
    <row r="24" spans="2:17" x14ac:dyDescent="0.25">
      <c r="B24" s="6">
        <f>B23*1000000</f>
        <v>1059835000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L499"/>
  <sheetViews>
    <sheetView topLeftCell="A118" zoomScaleNormal="100" workbookViewId="0">
      <pane xSplit="3" topLeftCell="D1" activePane="topRight" state="frozen"/>
      <selection activeCell="A46" sqref="A46"/>
      <selection pane="topRight" activeCell="C136" sqref="C136"/>
    </sheetView>
  </sheetViews>
  <sheetFormatPr defaultRowHeight="15" x14ac:dyDescent="0.25"/>
  <cols>
    <col min="1" max="1" width="11.42578125" customWidth="1"/>
    <col min="3" max="3" width="17.7109375" customWidth="1"/>
    <col min="4" max="4" width="15.140625" customWidth="1"/>
    <col min="5" max="5" width="30.7109375" customWidth="1"/>
    <col min="6" max="6" width="19.7109375" customWidth="1"/>
    <col min="7" max="7" width="17" customWidth="1"/>
    <col min="8" max="8" width="42" customWidth="1"/>
    <col min="9" max="9" width="21.5703125" customWidth="1"/>
    <col min="10" max="10" width="17.7109375" customWidth="1"/>
    <col min="11" max="12" width="16.85546875" customWidth="1"/>
    <col min="13" max="13" width="17" bestFit="1" customWidth="1"/>
    <col min="14" max="14" width="16.85546875" customWidth="1"/>
    <col min="15" max="15" width="19.140625" customWidth="1"/>
    <col min="16" max="16" width="17.140625" bestFit="1" customWidth="1"/>
    <col min="17" max="17" width="13.140625" bestFit="1" customWidth="1"/>
    <col min="18" max="18" width="16.85546875" customWidth="1"/>
    <col min="19" max="19" width="14.42578125" customWidth="1"/>
    <col min="20" max="20" width="15.5703125" customWidth="1"/>
    <col min="21" max="21" width="21.140625" customWidth="1"/>
    <col min="22" max="22" width="13.140625" bestFit="1" customWidth="1"/>
    <col min="23" max="23" width="14.7109375" bestFit="1" customWidth="1"/>
    <col min="24" max="24" width="13.140625" style="98" bestFit="1" customWidth="1"/>
    <col min="25" max="27" width="13.140625" bestFit="1" customWidth="1"/>
    <col min="28" max="33" width="14.5703125" bestFit="1" customWidth="1"/>
  </cols>
  <sheetData>
    <row r="1" spans="1:24" x14ac:dyDescent="0.25">
      <c r="B1">
        <v>2016</v>
      </c>
      <c r="C1">
        <v>2017</v>
      </c>
      <c r="D1">
        <v>2018</v>
      </c>
      <c r="E1">
        <v>2019</v>
      </c>
      <c r="F1">
        <v>2020</v>
      </c>
      <c r="G1">
        <v>2021</v>
      </c>
      <c r="H1">
        <v>2022</v>
      </c>
      <c r="I1">
        <v>2023</v>
      </c>
      <c r="J1">
        <v>2024</v>
      </c>
      <c r="K1">
        <v>2025</v>
      </c>
      <c r="L1">
        <v>2026</v>
      </c>
      <c r="M1">
        <v>2027</v>
      </c>
      <c r="N1">
        <v>2028</v>
      </c>
      <c r="O1">
        <v>2029</v>
      </c>
      <c r="P1">
        <v>2030</v>
      </c>
    </row>
    <row r="2" spans="1:24" s="144" customFormat="1" x14ac:dyDescent="0.25">
      <c r="A2" s="144" t="s">
        <v>150</v>
      </c>
      <c r="B2" s="144">
        <f>QU</f>
        <v>1.3651408101991704</v>
      </c>
      <c r="C2" s="144">
        <f>L95</f>
        <v>1.3905924167841621</v>
      </c>
      <c r="D2" s="144">
        <f>L128</f>
        <v>1.3322320995444401</v>
      </c>
      <c r="E2" s="144">
        <f>L161</f>
        <v>1.3774554333045044</v>
      </c>
      <c r="F2" s="144">
        <f>L193</f>
        <v>1.3774554333045044</v>
      </c>
      <c r="G2" s="144">
        <f>L224</f>
        <v>1.3322320995444401</v>
      </c>
      <c r="H2" s="144">
        <f>L253</f>
        <v>1.3774554333045044</v>
      </c>
      <c r="I2" s="144">
        <f>L281</f>
        <v>1.3774554333045044</v>
      </c>
      <c r="J2" s="144">
        <f>L310</f>
        <v>1.3774554333045044</v>
      </c>
      <c r="K2" s="144">
        <f>L339</f>
        <v>1.3774554333045044</v>
      </c>
      <c r="L2" s="144">
        <f>L368</f>
        <v>1.3774554333045044</v>
      </c>
      <c r="M2" s="144">
        <f>L397</f>
        <v>1.3774554333045044</v>
      </c>
      <c r="N2" s="144">
        <f>L426</f>
        <v>1.3774554333045044</v>
      </c>
      <c r="O2" s="144">
        <f>L455</f>
        <v>1.3774554333045044</v>
      </c>
      <c r="P2" s="144">
        <f>L484</f>
        <v>1.3774554333045044</v>
      </c>
    </row>
    <row r="3" spans="1:24" s="98" customFormat="1" x14ac:dyDescent="0.25">
      <c r="A3" s="98" t="s">
        <v>66</v>
      </c>
      <c r="B3" s="98">
        <f>G56</f>
        <v>0</v>
      </c>
      <c r="C3" s="98">
        <f>G87</f>
        <v>0</v>
      </c>
      <c r="D3" s="98">
        <f>G120</f>
        <v>0</v>
      </c>
      <c r="E3" s="98">
        <f>G153</f>
        <v>0</v>
      </c>
      <c r="F3" s="98">
        <f>G153</f>
        <v>0</v>
      </c>
      <c r="G3" s="98">
        <f>G216</f>
        <v>0</v>
      </c>
      <c r="H3" s="98">
        <f>G245</f>
        <v>0</v>
      </c>
      <c r="I3" s="98">
        <f>G273</f>
        <v>0</v>
      </c>
      <c r="J3" s="98">
        <f>G302</f>
        <v>0</v>
      </c>
      <c r="K3" s="98">
        <f>G331</f>
        <v>0</v>
      </c>
      <c r="L3" s="98">
        <f>G360</f>
        <v>0</v>
      </c>
      <c r="M3" s="98">
        <f>G389</f>
        <v>0</v>
      </c>
      <c r="N3" s="98">
        <f>G418</f>
        <v>0</v>
      </c>
      <c r="O3" s="98">
        <f>G447</f>
        <v>0</v>
      </c>
      <c r="P3" s="98">
        <f>G476</f>
        <v>0</v>
      </c>
    </row>
    <row r="4" spans="1:24" s="98" customFormat="1" x14ac:dyDescent="0.25">
      <c r="A4" s="98" t="s">
        <v>174</v>
      </c>
      <c r="B4" s="98">
        <f>G57</f>
        <v>7.6100948474299397</v>
      </c>
      <c r="C4" s="98">
        <f>G88</f>
        <v>7.9482058027952673</v>
      </c>
      <c r="D4" s="98">
        <f>G121</f>
        <v>8.2554462432567419</v>
      </c>
      <c r="E4" s="98">
        <f>G154</f>
        <v>9.3665473870013916</v>
      </c>
      <c r="F4" s="98">
        <f>G154</f>
        <v>9.3665473870013916</v>
      </c>
      <c r="G4" s="98">
        <f>G217</f>
        <v>8.1917654595153628</v>
      </c>
      <c r="H4" s="98">
        <f>G246</f>
        <v>9.259402795485471</v>
      </c>
      <c r="I4" s="98">
        <f>G274</f>
        <v>9.193782148151401</v>
      </c>
      <c r="J4" s="98">
        <f>G303</f>
        <v>9.1262878704718524</v>
      </c>
      <c r="K4" s="98">
        <f>G332</f>
        <v>9.0493254470444455</v>
      </c>
      <c r="L4" s="98">
        <f>G361</f>
        <v>8.9642172733387149</v>
      </c>
      <c r="M4" s="98">
        <f>G390</f>
        <v>8.8838381654144261</v>
      </c>
      <c r="N4" s="98">
        <f>G419</f>
        <v>8.8018224051511584</v>
      </c>
      <c r="O4" s="98">
        <f>G448</f>
        <v>8.7182751138607255</v>
      </c>
      <c r="P4" s="98">
        <f>G477</f>
        <v>8.6332721113267645</v>
      </c>
    </row>
    <row r="5" spans="1:24" s="98" customFormat="1" x14ac:dyDescent="0.25"/>
    <row r="6" spans="1:24" s="98" customFormat="1" x14ac:dyDescent="0.25">
      <c r="G6" s="98">
        <v>2000</v>
      </c>
      <c r="H6" s="98">
        <v>2001</v>
      </c>
      <c r="I6" s="98">
        <v>2002</v>
      </c>
      <c r="J6" s="98">
        <v>2003</v>
      </c>
      <c r="K6" s="98">
        <v>2004</v>
      </c>
      <c r="L6" s="98">
        <v>2005</v>
      </c>
      <c r="M6" s="98">
        <v>2006</v>
      </c>
      <c r="N6" s="98">
        <v>2007</v>
      </c>
      <c r="O6" s="98">
        <v>2008</v>
      </c>
      <c r="P6" s="98">
        <v>2009</v>
      </c>
      <c r="Q6" s="98">
        <v>2010</v>
      </c>
      <c r="R6" s="98">
        <v>2011</v>
      </c>
      <c r="S6" s="98">
        <v>2012</v>
      </c>
      <c r="T6" s="98">
        <v>2013</v>
      </c>
      <c r="U6" s="98">
        <v>2014</v>
      </c>
      <c r="V6" s="98">
        <v>2015</v>
      </c>
      <c r="W6" s="98">
        <v>2016</v>
      </c>
      <c r="X6" s="98">
        <v>2017</v>
      </c>
    </row>
    <row r="7" spans="1:24" x14ac:dyDescent="0.25">
      <c r="F7" s="21" t="s">
        <v>33</v>
      </c>
      <c r="G7">
        <v>20002.900000000001</v>
      </c>
      <c r="H7">
        <v>28291.9</v>
      </c>
      <c r="I7">
        <v>41628.5</v>
      </c>
      <c r="J7">
        <v>55330.3</v>
      </c>
      <c r="K7">
        <v>65648.800000000003</v>
      </c>
      <c r="L7">
        <v>79969.100000000006</v>
      </c>
      <c r="M7">
        <v>95616.1</v>
      </c>
      <c r="N7">
        <v>110421</v>
      </c>
      <c r="O7">
        <v>147191</v>
      </c>
      <c r="P7">
        <v>169088.5</v>
      </c>
      <c r="Q7">
        <v>188788.8</v>
      </c>
      <c r="R7">
        <v>211320.1</v>
      </c>
      <c r="S7">
        <v>231029.7</v>
      </c>
      <c r="T7">
        <v>260768</v>
      </c>
      <c r="U7">
        <v>268130.5</v>
      </c>
      <c r="V7">
        <v>299266.7</v>
      </c>
      <c r="W7">
        <v>296363.3</v>
      </c>
      <c r="X7" s="91"/>
    </row>
    <row r="8" spans="1:24" x14ac:dyDescent="0.25">
      <c r="F8" t="s">
        <v>34</v>
      </c>
      <c r="X8" s="91"/>
    </row>
    <row r="9" spans="1:24" x14ac:dyDescent="0.25">
      <c r="F9" s="83" t="s">
        <v>135</v>
      </c>
      <c r="G9">
        <v>10117</v>
      </c>
      <c r="H9">
        <v>13289.9</v>
      </c>
      <c r="I9">
        <v>19805.900000000001</v>
      </c>
      <c r="J9">
        <v>25842.5</v>
      </c>
      <c r="K9">
        <v>31079.9</v>
      </c>
      <c r="L9">
        <v>36067.9</v>
      </c>
      <c r="M9">
        <v>44274.6</v>
      </c>
      <c r="N9">
        <v>54830.5</v>
      </c>
      <c r="O9">
        <v>74059</v>
      </c>
      <c r="P9">
        <v>79584.600000000006</v>
      </c>
      <c r="Q9">
        <v>88011.5</v>
      </c>
      <c r="R9">
        <v>97814.8</v>
      </c>
      <c r="S9">
        <v>115718.9</v>
      </c>
      <c r="T9">
        <v>126249</v>
      </c>
      <c r="U9">
        <v>130909.4</v>
      </c>
      <c r="V9">
        <v>132569.4</v>
      </c>
      <c r="W9">
        <v>134301.5</v>
      </c>
      <c r="X9" s="91"/>
    </row>
    <row r="10" spans="1:24" x14ac:dyDescent="0.25">
      <c r="F10" s="83" t="s">
        <v>14</v>
      </c>
      <c r="G10">
        <v>3032.6</v>
      </c>
      <c r="H10">
        <v>4373.6000000000004</v>
      </c>
      <c r="I10">
        <v>6055.6</v>
      </c>
      <c r="J10">
        <v>7687.1</v>
      </c>
      <c r="K10">
        <v>8566.7000000000007</v>
      </c>
      <c r="L10">
        <v>11165.3</v>
      </c>
      <c r="M10">
        <v>12753.4</v>
      </c>
      <c r="N10">
        <v>15290.7</v>
      </c>
      <c r="O10">
        <v>21737.5</v>
      </c>
      <c r="P10">
        <v>27642.2</v>
      </c>
      <c r="Q10">
        <v>35754</v>
      </c>
      <c r="R10">
        <v>41572</v>
      </c>
      <c r="S10">
        <v>45939.1</v>
      </c>
      <c r="T10">
        <v>53156.9</v>
      </c>
      <c r="U10">
        <v>54517.7</v>
      </c>
      <c r="V10">
        <v>62632.7</v>
      </c>
      <c r="W10">
        <v>65759.199999999997</v>
      </c>
      <c r="X10" s="91"/>
    </row>
    <row r="11" spans="1:24" x14ac:dyDescent="0.25">
      <c r="F11" t="s">
        <v>15</v>
      </c>
      <c r="G11">
        <v>208.9</v>
      </c>
      <c r="H11">
        <v>270</v>
      </c>
      <c r="I11">
        <v>375.9</v>
      </c>
      <c r="J11">
        <v>666.5</v>
      </c>
      <c r="K11">
        <v>1176.0999999999999</v>
      </c>
      <c r="L11">
        <v>1034.9000000000001</v>
      </c>
      <c r="M11">
        <v>1646</v>
      </c>
      <c r="N11">
        <v>1588.8</v>
      </c>
      <c r="O11">
        <v>2335.1</v>
      </c>
      <c r="P11">
        <v>3508.6</v>
      </c>
      <c r="Q11">
        <v>3211.6</v>
      </c>
      <c r="R11">
        <v>3984.6</v>
      </c>
      <c r="S11">
        <v>5125.3999999999996</v>
      </c>
      <c r="T11">
        <v>8222.1</v>
      </c>
      <c r="U11">
        <v>6979.4</v>
      </c>
      <c r="V11">
        <v>7247.9</v>
      </c>
      <c r="W11">
        <v>8920.2999999999993</v>
      </c>
      <c r="X11" s="91">
        <v>8920.2999999999993</v>
      </c>
    </row>
    <row r="12" spans="1:24" x14ac:dyDescent="0.25">
      <c r="F12" t="s">
        <v>16</v>
      </c>
      <c r="G12">
        <v>2501.5</v>
      </c>
      <c r="H12">
        <v>2864.7</v>
      </c>
      <c r="I12">
        <v>4675.7</v>
      </c>
      <c r="J12">
        <v>6835.2</v>
      </c>
      <c r="K12">
        <v>8337.2000000000007</v>
      </c>
      <c r="L12">
        <v>10388.9</v>
      </c>
      <c r="M12">
        <v>12690.4</v>
      </c>
      <c r="N12">
        <v>12860.3</v>
      </c>
      <c r="O12">
        <v>17369.2</v>
      </c>
      <c r="P12">
        <v>20064.400000000001</v>
      </c>
      <c r="Q12">
        <v>24916.1</v>
      </c>
      <c r="R12">
        <v>28633.8</v>
      </c>
      <c r="S12">
        <v>32367.200000000001</v>
      </c>
      <c r="T12">
        <v>33905.1</v>
      </c>
      <c r="U12">
        <v>37142.9</v>
      </c>
      <c r="V12">
        <v>37723.5</v>
      </c>
      <c r="W12">
        <v>39788</v>
      </c>
      <c r="X12" s="91">
        <v>39788</v>
      </c>
    </row>
    <row r="13" spans="1:24" x14ac:dyDescent="0.25">
      <c r="F13" s="83" t="s">
        <v>17</v>
      </c>
      <c r="G13">
        <v>4142.8999999999996</v>
      </c>
      <c r="H13">
        <v>7493.7</v>
      </c>
      <c r="I13">
        <v>10715.4</v>
      </c>
      <c r="J13">
        <v>14299</v>
      </c>
      <c r="K13">
        <v>16488.900000000001</v>
      </c>
      <c r="L13">
        <v>21312.1</v>
      </c>
      <c r="M13">
        <v>24251.7</v>
      </c>
      <c r="N13">
        <v>25850.7</v>
      </c>
      <c r="O13">
        <v>31690.2</v>
      </c>
      <c r="P13">
        <v>38288.699999999997</v>
      </c>
      <c r="Q13">
        <v>36895.599999999999</v>
      </c>
      <c r="R13">
        <v>39314.9</v>
      </c>
      <c r="S13">
        <v>31879.1</v>
      </c>
      <c r="T13">
        <v>39234.9</v>
      </c>
      <c r="U13">
        <v>38581.1</v>
      </c>
      <c r="V13">
        <v>59093.2</v>
      </c>
      <c r="W13">
        <v>47594.3</v>
      </c>
      <c r="X13" s="91">
        <v>47594.3</v>
      </c>
    </row>
    <row r="14" spans="1:24" x14ac:dyDescent="0.25">
      <c r="F14" s="21" t="s">
        <v>2</v>
      </c>
      <c r="X14" s="91"/>
    </row>
    <row r="15" spans="1:24" x14ac:dyDescent="0.25">
      <c r="F15" t="s">
        <v>3</v>
      </c>
      <c r="G15">
        <v>1405.7</v>
      </c>
      <c r="H15">
        <v>2011.5</v>
      </c>
      <c r="I15">
        <v>2993.1</v>
      </c>
      <c r="J15">
        <v>4017.7</v>
      </c>
      <c r="K15">
        <v>4808.5</v>
      </c>
      <c r="L15">
        <v>5907.6</v>
      </c>
      <c r="M15">
        <v>7119.2</v>
      </c>
      <c r="N15">
        <v>8265.4</v>
      </c>
      <c r="O15">
        <v>11047.2</v>
      </c>
      <c r="P15">
        <v>12704.8</v>
      </c>
      <c r="Q15">
        <v>14204.5</v>
      </c>
      <c r="R15">
        <v>15968.8</v>
      </c>
      <c r="S15">
        <v>17545.599999999999</v>
      </c>
      <c r="T15">
        <v>19886.099999999999</v>
      </c>
      <c r="U15">
        <v>20520</v>
      </c>
      <c r="V15">
        <v>22980.2</v>
      </c>
      <c r="W15" t="s">
        <v>42</v>
      </c>
      <c r="X15" s="91"/>
    </row>
    <row r="16" spans="1:24" x14ac:dyDescent="0.25">
      <c r="F16" t="s">
        <v>35</v>
      </c>
      <c r="G16">
        <v>125.5</v>
      </c>
      <c r="H16">
        <v>119.3</v>
      </c>
      <c r="I16">
        <v>127.4</v>
      </c>
      <c r="J16">
        <v>117.3</v>
      </c>
      <c r="K16">
        <v>108.1</v>
      </c>
      <c r="L16">
        <v>110.1</v>
      </c>
      <c r="M16">
        <v>109.8</v>
      </c>
      <c r="N16">
        <v>107</v>
      </c>
      <c r="O16">
        <v>118.1</v>
      </c>
      <c r="P16">
        <v>101.6</v>
      </c>
      <c r="Q16">
        <v>103.3</v>
      </c>
      <c r="R16">
        <v>102.6</v>
      </c>
      <c r="S16">
        <v>104.9</v>
      </c>
      <c r="T16">
        <v>105.2</v>
      </c>
      <c r="U16">
        <v>95.7</v>
      </c>
      <c r="V16">
        <v>95.7</v>
      </c>
      <c r="W16" t="s">
        <v>43</v>
      </c>
      <c r="X16" s="91"/>
    </row>
    <row r="17" spans="6:24" x14ac:dyDescent="0.25">
      <c r="F17" s="69" t="s">
        <v>36</v>
      </c>
      <c r="X17" s="91"/>
    </row>
    <row r="18" spans="6:24" x14ac:dyDescent="0.25">
      <c r="F18" t="s">
        <v>37</v>
      </c>
      <c r="G18">
        <v>2106.3000000000002</v>
      </c>
      <c r="H18">
        <v>2871.8</v>
      </c>
      <c r="I18">
        <v>4246.2</v>
      </c>
      <c r="J18">
        <v>5442.2</v>
      </c>
      <c r="K18">
        <v>6671.6</v>
      </c>
      <c r="L18">
        <v>8152.7</v>
      </c>
      <c r="M18">
        <v>9942.6</v>
      </c>
      <c r="N18">
        <v>12161.5</v>
      </c>
      <c r="O18">
        <v>15142.5</v>
      </c>
      <c r="P18">
        <v>16553.599999999999</v>
      </c>
      <c r="Q18">
        <v>18684.5</v>
      </c>
      <c r="R18">
        <v>21099.599999999999</v>
      </c>
      <c r="S18">
        <v>24218.5</v>
      </c>
      <c r="T18">
        <v>27279.4</v>
      </c>
      <c r="U18">
        <v>29318.5</v>
      </c>
      <c r="V18">
        <v>30930.799999999999</v>
      </c>
      <c r="W18">
        <v>32654.3</v>
      </c>
      <c r="X18" s="91"/>
    </row>
    <row r="19" spans="6:24" x14ac:dyDescent="0.25">
      <c r="F19" t="s">
        <v>38</v>
      </c>
      <c r="G19">
        <v>118.2</v>
      </c>
      <c r="H19">
        <v>113.6</v>
      </c>
      <c r="I19">
        <v>126.6</v>
      </c>
      <c r="J19">
        <v>112</v>
      </c>
      <c r="K19">
        <v>110.7</v>
      </c>
      <c r="L19">
        <v>109.5</v>
      </c>
      <c r="M19">
        <v>111.1</v>
      </c>
      <c r="N19">
        <v>112.8</v>
      </c>
      <c r="O19">
        <v>110</v>
      </c>
      <c r="P19">
        <v>96.6</v>
      </c>
      <c r="Q19">
        <v>104.3</v>
      </c>
      <c r="R19">
        <v>103</v>
      </c>
      <c r="S19">
        <v>109.6</v>
      </c>
      <c r="T19">
        <v>104.5</v>
      </c>
      <c r="U19">
        <v>99.7</v>
      </c>
      <c r="V19">
        <v>90.1</v>
      </c>
      <c r="W19">
        <v>98.6</v>
      </c>
      <c r="X19" s="91"/>
    </row>
    <row r="20" spans="6:24" x14ac:dyDescent="0.25">
      <c r="F20" s="21" t="s">
        <v>39</v>
      </c>
      <c r="X20" s="91"/>
    </row>
    <row r="21" spans="6:24" x14ac:dyDescent="0.25">
      <c r="F21" t="s">
        <v>44</v>
      </c>
      <c r="G21">
        <v>699.7</v>
      </c>
      <c r="H21">
        <v>993.3</v>
      </c>
      <c r="I21">
        <v>1299.3</v>
      </c>
      <c r="J21">
        <v>1536.9</v>
      </c>
      <c r="K21">
        <v>1777.3</v>
      </c>
      <c r="L21">
        <v>2249.8000000000002</v>
      </c>
      <c r="M21">
        <v>2523.6999999999998</v>
      </c>
      <c r="N21">
        <v>3039.7</v>
      </c>
      <c r="O21">
        <v>3964.7</v>
      </c>
      <c r="P21">
        <v>5050</v>
      </c>
      <c r="Q21">
        <v>6929.4</v>
      </c>
      <c r="R21">
        <v>7561.4</v>
      </c>
      <c r="S21">
        <v>8388.5</v>
      </c>
      <c r="T21">
        <v>9180</v>
      </c>
      <c r="U21">
        <v>10023.799999999999</v>
      </c>
      <c r="V21">
        <v>11171.3</v>
      </c>
      <c r="W21">
        <v>16536.900000000001</v>
      </c>
      <c r="X21" s="91"/>
    </row>
    <row r="22" spans="6:24" x14ac:dyDescent="0.25">
      <c r="F22" t="s">
        <v>40</v>
      </c>
      <c r="G22">
        <v>124</v>
      </c>
      <c r="H22">
        <v>118.3</v>
      </c>
      <c r="I22">
        <v>112</v>
      </c>
      <c r="J22">
        <v>103.4</v>
      </c>
      <c r="K22">
        <v>104.4</v>
      </c>
      <c r="L22">
        <v>113.5</v>
      </c>
      <c r="M22">
        <v>102.2</v>
      </c>
      <c r="N22">
        <v>111</v>
      </c>
      <c r="O22">
        <v>115.3</v>
      </c>
      <c r="P22">
        <v>112.5</v>
      </c>
      <c r="Q22" t="s">
        <v>45</v>
      </c>
      <c r="R22">
        <v>103.1</v>
      </c>
      <c r="S22">
        <v>104.5</v>
      </c>
      <c r="T22">
        <v>101.8</v>
      </c>
      <c r="U22">
        <v>98.2</v>
      </c>
      <c r="V22">
        <v>100.4</v>
      </c>
      <c r="W22">
        <v>141</v>
      </c>
      <c r="X22" s="91"/>
    </row>
    <row r="23" spans="6:24" x14ac:dyDescent="0.25">
      <c r="F23" s="70" t="s">
        <v>46</v>
      </c>
    </row>
    <row r="24" spans="6:24" x14ac:dyDescent="0.25">
      <c r="F24" s="70" t="s">
        <v>47</v>
      </c>
    </row>
    <row r="25" spans="6:24" x14ac:dyDescent="0.25">
      <c r="F25" s="70" t="s">
        <v>48</v>
      </c>
    </row>
    <row r="26" spans="6:24" x14ac:dyDescent="0.25">
      <c r="F26" s="70" t="s">
        <v>49</v>
      </c>
    </row>
    <row r="29" spans="6:24" x14ac:dyDescent="0.25">
      <c r="T29">
        <f>[2]интерфейс!P276</f>
        <v>65759.199999999997</v>
      </c>
    </row>
    <row r="31" spans="6:24" x14ac:dyDescent="0.25">
      <c r="F31" s="74" t="s">
        <v>50</v>
      </c>
    </row>
    <row r="33" spans="1:33" x14ac:dyDescent="0.25">
      <c r="F33" s="89" t="s">
        <v>52</v>
      </c>
      <c r="G33" s="91">
        <v>2005</v>
      </c>
      <c r="H33">
        <v>2006</v>
      </c>
      <c r="I33">
        <v>2007</v>
      </c>
      <c r="J33">
        <v>2008</v>
      </c>
      <c r="K33">
        <v>2009</v>
      </c>
      <c r="L33">
        <v>2010</v>
      </c>
      <c r="M33">
        <v>2011</v>
      </c>
      <c r="N33">
        <v>2012</v>
      </c>
      <c r="O33">
        <v>2013</v>
      </c>
      <c r="P33">
        <v>2014</v>
      </c>
      <c r="Q33">
        <v>2015</v>
      </c>
      <c r="R33">
        <v>2016</v>
      </c>
      <c r="S33" s="84">
        <v>2017</v>
      </c>
      <c r="T33">
        <v>2018</v>
      </c>
      <c r="U33">
        <v>2019</v>
      </c>
      <c r="V33">
        <v>2020</v>
      </c>
      <c r="W33">
        <v>2021</v>
      </c>
      <c r="X33" s="98">
        <v>2022</v>
      </c>
      <c r="Y33">
        <v>2023</v>
      </c>
      <c r="Z33">
        <v>2024</v>
      </c>
      <c r="AA33">
        <v>2025</v>
      </c>
      <c r="AB33">
        <v>2026</v>
      </c>
      <c r="AC33">
        <v>2027</v>
      </c>
      <c r="AD33">
        <v>2028</v>
      </c>
      <c r="AE33">
        <v>2029</v>
      </c>
      <c r="AF33">
        <v>2030</v>
      </c>
      <c r="AG33">
        <v>2031</v>
      </c>
    </row>
    <row r="34" spans="1:33" s="6" customFormat="1" x14ac:dyDescent="0.25">
      <c r="F34" s="6" t="s">
        <v>33</v>
      </c>
      <c r="G34" s="152">
        <v>79969.100000000006</v>
      </c>
      <c r="H34" s="6">
        <v>95616.1</v>
      </c>
      <c r="I34" s="6">
        <v>110421</v>
      </c>
      <c r="J34" s="6">
        <v>147191</v>
      </c>
      <c r="K34" s="6">
        <v>169088.5</v>
      </c>
      <c r="L34" s="6">
        <v>188788.8</v>
      </c>
      <c r="M34" s="6">
        <v>211320.1</v>
      </c>
      <c r="N34" s="6">
        <v>231029.7</v>
      </c>
      <c r="O34" s="6">
        <v>260768</v>
      </c>
      <c r="P34" s="6">
        <v>268130.5</v>
      </c>
      <c r="Q34" s="6">
        <v>299266.7</v>
      </c>
      <c r="R34" s="6">
        <v>296363.3</v>
      </c>
      <c r="S34" s="153">
        <v>296363.3</v>
      </c>
      <c r="T34" s="6">
        <f>SUM(T35:T37)</f>
        <v>495564.81864522275</v>
      </c>
      <c r="U34" s="6">
        <f t="shared" ref="U34:AG34" si="0">SUM(U35:U37)</f>
        <v>554583.77621450275</v>
      </c>
      <c r="V34" s="6">
        <f t="shared" si="0"/>
        <v>601352.97612797108</v>
      </c>
      <c r="W34" s="6">
        <f t="shared" si="0"/>
        <v>651121.12383201451</v>
      </c>
      <c r="X34" s="154">
        <f t="shared" si="0"/>
        <v>700533.86948247359</v>
      </c>
      <c r="Y34" s="6">
        <f t="shared" si="0"/>
        <v>765453.59137790301</v>
      </c>
      <c r="Z34" s="6">
        <f t="shared" si="0"/>
        <v>844399.97655362659</v>
      </c>
      <c r="AA34" s="6">
        <f t="shared" si="0"/>
        <v>928038.73929056781</v>
      </c>
      <c r="AB34" s="6">
        <f t="shared" si="0"/>
        <v>1018371.955498795</v>
      </c>
      <c r="AC34" s="6">
        <f t="shared" si="0"/>
        <v>1099705.0560179432</v>
      </c>
      <c r="AD34" s="6">
        <f t="shared" si="0"/>
        <v>1176990.9763054752</v>
      </c>
      <c r="AE34" s="6">
        <f t="shared" si="0"/>
        <v>1260290.9424901453</v>
      </c>
      <c r="AF34" s="6">
        <f t="shared" si="0"/>
        <v>1350129.9617156752</v>
      </c>
      <c r="AG34" s="6">
        <f t="shared" si="0"/>
        <v>1447083.9065867581</v>
      </c>
    </row>
    <row r="35" spans="1:33" s="6" customFormat="1" x14ac:dyDescent="0.25">
      <c r="F35" s="6" t="s">
        <v>41</v>
      </c>
      <c r="G35" s="152">
        <v>36067.9</v>
      </c>
      <c r="H35" s="6">
        <v>44274.6</v>
      </c>
      <c r="I35" s="6">
        <v>54830.5</v>
      </c>
      <c r="J35" s="6">
        <v>74059</v>
      </c>
      <c r="K35" s="6">
        <v>79584.600000000006</v>
      </c>
      <c r="L35" s="6">
        <v>88011.5</v>
      </c>
      <c r="M35" s="6">
        <v>97814.8</v>
      </c>
      <c r="N35" s="6">
        <v>115718.9</v>
      </c>
      <c r="O35" s="6">
        <v>126249</v>
      </c>
      <c r="P35" s="6">
        <v>130909.4</v>
      </c>
      <c r="Q35" s="6">
        <v>132569.4</v>
      </c>
      <c r="R35" s="6">
        <v>134301.5</v>
      </c>
      <c r="S35" s="153">
        <v>134301.5</v>
      </c>
      <c r="T35" s="6">
        <f>[2]интерфейс!Q292+[2]интерфейс!Q297</f>
        <v>302532.23541544599</v>
      </c>
      <c r="U35" s="6">
        <f>[2]интерфейс!R292+[2]интерфейс!R297</f>
        <v>336238.86442425789</v>
      </c>
      <c r="V35" s="6">
        <f>[2]интерфейс!S292+[2]интерфейс!S297</f>
        <v>367009.76410204388</v>
      </c>
      <c r="W35" s="6">
        <f>[2]интерфейс!T292+[2]интерфейс!T297</f>
        <v>394571.27986169717</v>
      </c>
      <c r="X35" s="6">
        <f>[2]интерфейс!U292+[2]интерфейс!U297</f>
        <v>421650.70679860545</v>
      </c>
      <c r="Y35" s="6">
        <f>[2]интерфейс!V292+[2]интерфейс!V297</f>
        <v>455832.87547200138</v>
      </c>
      <c r="Z35" s="6">
        <f>[2]интерфейс!W292+[2]интерфейс!W297</f>
        <v>497321.64421527431</v>
      </c>
      <c r="AA35" s="6">
        <f>[2]интерфейс!X292+[2]интерфейс!X297</f>
        <v>541102.11185965536</v>
      </c>
      <c r="AB35" s="6">
        <f>[2]интерфейс!Y292+[2]интерфейс!Y297</f>
        <v>588241.35864874418</v>
      </c>
      <c r="AC35" s="6">
        <f>[2]интерфейс!Z292+[2]интерфейс!Z297</f>
        <v>628319.71301687974</v>
      </c>
      <c r="AD35" s="6">
        <f>[2]интерфейс!AA292+[2]интерфейс!AA297</f>
        <v>664876.92471948417</v>
      </c>
      <c r="AE35" s="6">
        <f>[2]интерфейс!AB292+[2]интерфейс!AB297</f>
        <v>703561.12639197556</v>
      </c>
      <c r="AF35" s="6">
        <f>[2]интерфейс!AC292+[2]интерфейс!AC297</f>
        <v>744496.07162827649</v>
      </c>
      <c r="AG35" s="6">
        <f>[2]интерфейс!AD292+[2]интерфейс!AD297</f>
        <v>787812.7143157887</v>
      </c>
    </row>
    <row r="36" spans="1:33" s="6" customFormat="1" x14ac:dyDescent="0.25">
      <c r="F36" s="6" t="s">
        <v>14</v>
      </c>
      <c r="G36" s="152">
        <f>[2]интерфейс!D276</f>
        <v>11165.3</v>
      </c>
      <c r="H36" s="155">
        <f>[2]интерфейс!E276</f>
        <v>12753.4</v>
      </c>
      <c r="I36" s="155">
        <f>[2]интерфейс!F276</f>
        <v>15290.7</v>
      </c>
      <c r="J36" s="155">
        <f>[2]интерфейс!G276</f>
        <v>21737.5</v>
      </c>
      <c r="K36" s="155">
        <f>[2]интерфейс!H276</f>
        <v>27642.2</v>
      </c>
      <c r="L36" s="155">
        <f>[2]интерфейс!I276</f>
        <v>35754</v>
      </c>
      <c r="M36" s="155">
        <f>[2]интерфейс!J276</f>
        <v>41572</v>
      </c>
      <c r="N36" s="155">
        <f>[2]интерфейс!K276</f>
        <v>45939.1</v>
      </c>
      <c r="O36" s="155">
        <f>[2]интерфейс!L276</f>
        <v>53156.9</v>
      </c>
      <c r="P36" s="155">
        <f>[2]интерфейс!M276</f>
        <v>54517.7</v>
      </c>
      <c r="Q36" s="155">
        <f>[2]интерфейс!N276</f>
        <v>62632.7</v>
      </c>
      <c r="R36" s="155">
        <f>[2]интерфейс!O276</f>
        <v>65759.199999999997</v>
      </c>
      <c r="S36" s="155">
        <f>[2]интерфейс!P276</f>
        <v>65759.199999999997</v>
      </c>
      <c r="T36" s="155">
        <f>[2]интерфейс!Q276</f>
        <v>83247.619229776727</v>
      </c>
      <c r="U36" s="155">
        <f>[2]интерфейс!R276</f>
        <v>96483.601750244794</v>
      </c>
      <c r="V36" s="155">
        <f>[2]интерфейс!S276</f>
        <v>101514.38408232717</v>
      </c>
      <c r="W36" s="155">
        <f>[2]интерфейс!T276</f>
        <v>114422.99807066527</v>
      </c>
      <c r="X36" s="155">
        <f>[2]интерфейс!U276</f>
        <v>128228.70603023698</v>
      </c>
      <c r="Y36" s="155">
        <f>[2]интерфейс!V276</f>
        <v>145407.35815344364</v>
      </c>
      <c r="Z36" s="155">
        <f>[2]интерфейс!W276</f>
        <v>166443.63881064852</v>
      </c>
      <c r="AA36" s="155">
        <f>[2]интерфейс!X276</f>
        <v>190044.81148571536</v>
      </c>
      <c r="AB36" s="155">
        <f>[2]интерфейс!Y276</f>
        <v>216857.38181821327</v>
      </c>
      <c r="AC36" s="155">
        <f>[2]интерфейс!Z276</f>
        <v>243183.00291699715</v>
      </c>
      <c r="AD36" s="155">
        <f>[2]интерфейс!AA276</f>
        <v>270219.57109688094</v>
      </c>
      <c r="AE36" s="155">
        <f>[2]интерфейс!AB276</f>
        <v>300321.66677971295</v>
      </c>
      <c r="AF36" s="155">
        <f>[2]интерфейс!AC276</f>
        <v>333841.25180983444</v>
      </c>
      <c r="AG36" s="155">
        <f>[2]интерфейс!AD276</f>
        <v>371170.99569675134</v>
      </c>
    </row>
    <row r="37" spans="1:33" s="6" customFormat="1" x14ac:dyDescent="0.25">
      <c r="F37" s="6" t="s">
        <v>51</v>
      </c>
      <c r="G37" s="152">
        <f t="shared" ref="G37:S37" si="1">L11+L12+L13</f>
        <v>32735.899999999998</v>
      </c>
      <c r="H37" s="6">
        <f t="shared" si="1"/>
        <v>38588.1</v>
      </c>
      <c r="I37" s="6">
        <f t="shared" si="1"/>
        <v>40299.800000000003</v>
      </c>
      <c r="J37" s="6">
        <f t="shared" si="1"/>
        <v>51394.5</v>
      </c>
      <c r="K37" s="6">
        <f t="shared" si="1"/>
        <v>61861.7</v>
      </c>
      <c r="L37" s="6">
        <f t="shared" si="1"/>
        <v>65023.299999999996</v>
      </c>
      <c r="M37" s="6">
        <f t="shared" si="1"/>
        <v>71933.3</v>
      </c>
      <c r="N37" s="6">
        <f t="shared" si="1"/>
        <v>69371.7</v>
      </c>
      <c r="O37" s="6">
        <f t="shared" si="1"/>
        <v>81362.100000000006</v>
      </c>
      <c r="P37" s="6">
        <f t="shared" si="1"/>
        <v>82703.399999999994</v>
      </c>
      <c r="Q37" s="6">
        <f t="shared" si="1"/>
        <v>104064.6</v>
      </c>
      <c r="R37" s="6">
        <f t="shared" si="1"/>
        <v>96302.6</v>
      </c>
      <c r="S37" s="153">
        <f t="shared" si="1"/>
        <v>96302.6</v>
      </c>
      <c r="T37" s="6">
        <f>[2]интерфейс!Q323</f>
        <v>109784.96400000002</v>
      </c>
      <c r="U37" s="6">
        <f>[2]интерфейс!R323</f>
        <v>121861.31004000004</v>
      </c>
      <c r="V37" s="6">
        <f>[2]интерфейс!S323</f>
        <v>132828.82794360004</v>
      </c>
      <c r="W37" s="6">
        <f>[2]интерфейс!T323</f>
        <v>142126.84589965205</v>
      </c>
      <c r="X37" s="6">
        <f>[2]интерфейс!U323</f>
        <v>150654.45665363118</v>
      </c>
      <c r="Y37" s="6">
        <f>[2]интерфейс!V323</f>
        <v>164213.35775245799</v>
      </c>
      <c r="Z37" s="6">
        <f>[2]интерфейс!W323</f>
        <v>180634.69352770381</v>
      </c>
      <c r="AA37" s="6">
        <f>[2]интерфейс!X323</f>
        <v>196891.81594519719</v>
      </c>
      <c r="AB37" s="6">
        <f>[2]интерфейс!Y323</f>
        <v>213273.21503183755</v>
      </c>
      <c r="AC37" s="6">
        <f>[2]интерфейс!Z323</f>
        <v>228202.34008406621</v>
      </c>
      <c r="AD37" s="6">
        <f>[2]интерфейс!AA323</f>
        <v>241894.4804891102</v>
      </c>
      <c r="AE37" s="6">
        <f>[2]интерфейс!AB323</f>
        <v>256408.14931845682</v>
      </c>
      <c r="AF37" s="6">
        <f>[2]интерфейс!AC323</f>
        <v>271792.63827756426</v>
      </c>
      <c r="AG37" s="6">
        <f>[2]интерфейс!AD323</f>
        <v>288100.19657421811</v>
      </c>
    </row>
    <row r="38" spans="1:33" x14ac:dyDescent="0.25">
      <c r="S38" s="84"/>
    </row>
    <row r="39" spans="1:33" x14ac:dyDescent="0.25">
      <c r="S39" s="84"/>
    </row>
    <row r="40" spans="1:33" x14ac:dyDescent="0.25">
      <c r="F40" t="s">
        <v>24</v>
      </c>
      <c r="G40">
        <v>2005</v>
      </c>
      <c r="H40">
        <v>2006</v>
      </c>
      <c r="I40">
        <v>2007</v>
      </c>
      <c r="J40">
        <v>2008</v>
      </c>
      <c r="K40">
        <v>2009</v>
      </c>
      <c r="L40">
        <v>2010</v>
      </c>
      <c r="M40">
        <v>2011</v>
      </c>
      <c r="N40">
        <v>2012</v>
      </c>
      <c r="O40">
        <v>2013</v>
      </c>
      <c r="P40">
        <v>2014</v>
      </c>
      <c r="Q40">
        <v>2015</v>
      </c>
      <c r="R40">
        <v>2016</v>
      </c>
      <c r="S40" s="84">
        <v>2017</v>
      </c>
      <c r="T40">
        <v>2018</v>
      </c>
      <c r="U40">
        <v>2019</v>
      </c>
      <c r="V40">
        <v>2020</v>
      </c>
      <c r="W40">
        <v>2021</v>
      </c>
      <c r="X40" s="98">
        <v>2022</v>
      </c>
      <c r="Y40">
        <v>2023</v>
      </c>
      <c r="Z40">
        <v>2024</v>
      </c>
      <c r="AA40">
        <v>2025</v>
      </c>
      <c r="AB40">
        <v>2026</v>
      </c>
      <c r="AC40">
        <v>2027</v>
      </c>
      <c r="AD40">
        <v>2028</v>
      </c>
      <c r="AE40">
        <v>2029</v>
      </c>
      <c r="AF40">
        <v>2030</v>
      </c>
      <c r="AG40">
        <v>2031</v>
      </c>
    </row>
    <row r="41" spans="1:33" x14ac:dyDescent="0.25">
      <c r="F41" t="s">
        <v>33</v>
      </c>
      <c r="S41" s="84"/>
    </row>
    <row r="42" spans="1:33" x14ac:dyDescent="0.25">
      <c r="F42" t="s">
        <v>18</v>
      </c>
      <c r="G42">
        <f t="shared" ref="G42:R42" si="2">100*G35/G$34</f>
        <v>45.10229576173797</v>
      </c>
      <c r="H42">
        <f t="shared" si="2"/>
        <v>46.30454494588254</v>
      </c>
      <c r="I42">
        <f t="shared" si="2"/>
        <v>49.655862562374914</v>
      </c>
      <c r="J42">
        <f t="shared" si="2"/>
        <v>50.314896970602824</v>
      </c>
      <c r="K42">
        <f t="shared" si="2"/>
        <v>47.066831866152938</v>
      </c>
      <c r="L42">
        <f t="shared" si="2"/>
        <v>46.619026128668651</v>
      </c>
      <c r="M42">
        <f t="shared" si="2"/>
        <v>46.287504122892237</v>
      </c>
      <c r="N42">
        <f t="shared" si="2"/>
        <v>50.088321977650487</v>
      </c>
      <c r="O42">
        <f t="shared" si="2"/>
        <v>48.414299300527674</v>
      </c>
      <c r="P42">
        <f t="shared" si="2"/>
        <v>48.823017150230953</v>
      </c>
      <c r="Q42">
        <f t="shared" si="2"/>
        <v>44.298079271766618</v>
      </c>
      <c r="R42">
        <f t="shared" si="2"/>
        <v>45.316508488061785</v>
      </c>
      <c r="S42" s="84">
        <f t="shared" ref="S42:AG42" si="3">100*S35/S$34</f>
        <v>45.316508488061785</v>
      </c>
      <c r="T42">
        <f t="shared" si="3"/>
        <v>61.04796467241357</v>
      </c>
      <c r="U42">
        <f t="shared" si="3"/>
        <v>60.629048097903045</v>
      </c>
      <c r="V42">
        <f t="shared" si="3"/>
        <v>61.030672279227609</v>
      </c>
      <c r="W42">
        <f t="shared" si="3"/>
        <v>60.598752738898128</v>
      </c>
      <c r="X42" s="98">
        <f t="shared" si="3"/>
        <v>60.189910176663432</v>
      </c>
      <c r="Y42">
        <f t="shared" si="3"/>
        <v>59.550687410251825</v>
      </c>
      <c r="Z42">
        <f t="shared" si="3"/>
        <v>58.896454053097685</v>
      </c>
      <c r="AA42">
        <f t="shared" si="3"/>
        <v>58.305983247347712</v>
      </c>
      <c r="AB42">
        <f t="shared" si="3"/>
        <v>57.762918103987417</v>
      </c>
      <c r="AC42">
        <f t="shared" si="3"/>
        <v>57.135293647920427</v>
      </c>
      <c r="AD42">
        <f t="shared" si="3"/>
        <v>56.48955158573132</v>
      </c>
      <c r="AE42">
        <f t="shared" si="3"/>
        <v>55.825294197690944</v>
      </c>
      <c r="AF42">
        <f t="shared" si="3"/>
        <v>55.142548698216395</v>
      </c>
      <c r="AG42">
        <f t="shared" si="3"/>
        <v>54.44139836880678</v>
      </c>
    </row>
    <row r="43" spans="1:33" x14ac:dyDescent="0.25">
      <c r="F43" t="s">
        <v>14</v>
      </c>
      <c r="G43">
        <f t="shared" ref="G43:R43" si="4">100*G36/G$34</f>
        <v>13.9620178293866</v>
      </c>
      <c r="H43">
        <f t="shared" si="4"/>
        <v>13.33813029395677</v>
      </c>
      <c r="I43">
        <f t="shared" si="4"/>
        <v>13.847637677615671</v>
      </c>
      <c r="J43">
        <f t="shared" si="4"/>
        <v>14.768226318185215</v>
      </c>
      <c r="K43">
        <f t="shared" si="4"/>
        <v>16.347770546193267</v>
      </c>
      <c r="L43">
        <f t="shared" si="4"/>
        <v>18.938623477663931</v>
      </c>
      <c r="M43">
        <f t="shared" si="4"/>
        <v>19.672525235413005</v>
      </c>
      <c r="N43">
        <f t="shared" si="4"/>
        <v>19.884499698523609</v>
      </c>
      <c r="O43">
        <f t="shared" si="4"/>
        <v>20.384748128604738</v>
      </c>
      <c r="P43">
        <f t="shared" si="4"/>
        <v>20.332524647513058</v>
      </c>
      <c r="Q43">
        <f t="shared" si="4"/>
        <v>20.928723443002511</v>
      </c>
      <c r="R43">
        <f t="shared" si="4"/>
        <v>22.188712300072243</v>
      </c>
      <c r="S43" s="84">
        <f t="shared" ref="S43:AG43" si="5">100*S36/S$34</f>
        <v>22.188712300072243</v>
      </c>
      <c r="T43">
        <f t="shared" si="5"/>
        <v>16.798532925997335</v>
      </c>
      <c r="U43">
        <f t="shared" si="5"/>
        <v>17.397480036077855</v>
      </c>
      <c r="V43">
        <f t="shared" si="5"/>
        <v>16.880998034792192</v>
      </c>
      <c r="W43">
        <f t="shared" si="5"/>
        <v>17.573227757879614</v>
      </c>
      <c r="X43" s="98">
        <f t="shared" si="5"/>
        <v>18.304426326305567</v>
      </c>
      <c r="Y43">
        <f t="shared" si="5"/>
        <v>18.996234362385568</v>
      </c>
      <c r="Z43">
        <f t="shared" si="5"/>
        <v>19.711468904816808</v>
      </c>
      <c r="AA43">
        <f t="shared" si="5"/>
        <v>20.478111897677209</v>
      </c>
      <c r="AB43">
        <f t="shared" si="5"/>
        <v>21.294516276422527</v>
      </c>
      <c r="AC43">
        <f t="shared" si="5"/>
        <v>22.113475025528054</v>
      </c>
      <c r="AD43">
        <f t="shared" si="5"/>
        <v>22.958508309476485</v>
      </c>
      <c r="AE43">
        <f t="shared" si="5"/>
        <v>23.829550515242339</v>
      </c>
      <c r="AF43">
        <f t="shared" si="5"/>
        <v>24.726601236639937</v>
      </c>
      <c r="AG43">
        <f t="shared" si="5"/>
        <v>25.649583552638191</v>
      </c>
    </row>
    <row r="44" spans="1:33" x14ac:dyDescent="0.25">
      <c r="F44" t="s">
        <v>51</v>
      </c>
      <c r="G44">
        <f t="shared" ref="G44:R44" si="6">100*G37/G$34</f>
        <v>40.935686408875426</v>
      </c>
      <c r="H44">
        <f t="shared" si="6"/>
        <v>40.357324760160679</v>
      </c>
      <c r="I44">
        <f t="shared" si="6"/>
        <v>36.496499760009421</v>
      </c>
      <c r="J44">
        <f t="shared" si="6"/>
        <v>34.916876711211962</v>
      </c>
      <c r="K44">
        <f t="shared" si="6"/>
        <v>36.585397587653802</v>
      </c>
      <c r="L44">
        <f t="shared" si="6"/>
        <v>34.442350393667425</v>
      </c>
      <c r="M44">
        <f t="shared" si="6"/>
        <v>34.039970641694758</v>
      </c>
      <c r="N44">
        <f t="shared" si="6"/>
        <v>30.027178323825897</v>
      </c>
      <c r="O44">
        <f t="shared" si="6"/>
        <v>31.200952570867596</v>
      </c>
      <c r="P44">
        <f t="shared" si="6"/>
        <v>30.844458202255989</v>
      </c>
      <c r="Q44">
        <f t="shared" si="6"/>
        <v>34.773197285230864</v>
      </c>
      <c r="R44">
        <f t="shared" si="6"/>
        <v>32.494779211865975</v>
      </c>
      <c r="S44" s="84">
        <f t="shared" ref="S44:AG44" si="7">100*S37/S$34</f>
        <v>32.494779211865975</v>
      </c>
      <c r="T44">
        <f t="shared" si="7"/>
        <v>22.153502401589087</v>
      </c>
      <c r="U44">
        <f t="shared" si="7"/>
        <v>21.973471866019093</v>
      </c>
      <c r="V44">
        <f t="shared" si="7"/>
        <v>22.088329685980199</v>
      </c>
      <c r="W44">
        <f t="shared" si="7"/>
        <v>21.828019503222254</v>
      </c>
      <c r="X44" s="98">
        <f t="shared" si="7"/>
        <v>21.505663497031009</v>
      </c>
      <c r="Y44">
        <f t="shared" si="7"/>
        <v>21.4530782273626</v>
      </c>
      <c r="Z44">
        <f t="shared" si="7"/>
        <v>21.392077042085514</v>
      </c>
      <c r="AA44">
        <f t="shared" si="7"/>
        <v>21.21590485497509</v>
      </c>
      <c r="AB44">
        <f t="shared" si="7"/>
        <v>20.942565619590052</v>
      </c>
      <c r="AC44">
        <f t="shared" si="7"/>
        <v>20.751231326551505</v>
      </c>
      <c r="AD44">
        <f t="shared" si="7"/>
        <v>20.551940104792198</v>
      </c>
      <c r="AE44">
        <f t="shared" si="7"/>
        <v>20.345155287066724</v>
      </c>
      <c r="AF44">
        <f t="shared" si="7"/>
        <v>20.130850065143676</v>
      </c>
      <c r="AG44">
        <f t="shared" si="7"/>
        <v>19.909018078555036</v>
      </c>
    </row>
    <row r="45" spans="1:33" x14ac:dyDescent="0.25">
      <c r="S45" s="84"/>
    </row>
    <row r="46" spans="1:33" x14ac:dyDescent="0.25">
      <c r="S46" s="84"/>
    </row>
    <row r="47" spans="1:33" ht="15.75" thickBot="1" x14ac:dyDescent="0.3">
      <c r="F47" s="89" t="s">
        <v>52</v>
      </c>
      <c r="G47" s="91">
        <v>2005</v>
      </c>
      <c r="H47">
        <v>2006</v>
      </c>
      <c r="I47">
        <v>2007</v>
      </c>
      <c r="J47">
        <v>2008</v>
      </c>
      <c r="K47">
        <v>2009</v>
      </c>
      <c r="L47">
        <v>2010</v>
      </c>
      <c r="M47">
        <v>2011</v>
      </c>
      <c r="N47">
        <v>2012</v>
      </c>
      <c r="O47">
        <v>2013</v>
      </c>
      <c r="P47">
        <v>2014</v>
      </c>
      <c r="Q47">
        <v>2015</v>
      </c>
      <c r="R47">
        <v>2016</v>
      </c>
      <c r="S47" s="84">
        <v>2017</v>
      </c>
      <c r="T47">
        <v>2018</v>
      </c>
      <c r="U47">
        <v>2019</v>
      </c>
      <c r="V47">
        <v>2020</v>
      </c>
      <c r="W47">
        <v>2021</v>
      </c>
      <c r="X47" s="98">
        <v>2022</v>
      </c>
      <c r="Y47">
        <v>2023</v>
      </c>
      <c r="Z47">
        <v>2024</v>
      </c>
      <c r="AA47">
        <v>2025</v>
      </c>
      <c r="AB47">
        <v>2026</v>
      </c>
      <c r="AC47">
        <v>2027</v>
      </c>
      <c r="AD47">
        <v>2028</v>
      </c>
      <c r="AE47">
        <v>2029</v>
      </c>
      <c r="AF47">
        <v>2030</v>
      </c>
      <c r="AG47">
        <v>2031</v>
      </c>
    </row>
    <row r="48" spans="1:33" ht="15.75" thickBot="1" x14ac:dyDescent="0.3">
      <c r="A48" s="90" t="s">
        <v>143</v>
      </c>
      <c r="C48" s="5"/>
      <c r="D48" s="23">
        <v>50</v>
      </c>
      <c r="F48" t="s">
        <v>53</v>
      </c>
      <c r="G48" s="92">
        <f>[2]интерфейс!D292</f>
        <v>31067.900000000005</v>
      </c>
      <c r="H48" s="80">
        <f>[2]интерфейс!E292</f>
        <v>38872.173827073428</v>
      </c>
      <c r="I48" s="80">
        <f>[2]интерфейс!F292</f>
        <v>48929.779295014247</v>
      </c>
      <c r="J48" s="80">
        <f>[2]интерфейс!G292</f>
        <v>66951.845777282229</v>
      </c>
      <c r="K48" s="80">
        <f>[2]интерфейс!H292</f>
        <v>72275.169581863433</v>
      </c>
      <c r="L48" s="80">
        <f>[2]интерфейс!I292</f>
        <v>80513.824901395914</v>
      </c>
      <c r="M48" s="80">
        <f>[2]интерфейс!J292</f>
        <v>90770.469111750877</v>
      </c>
      <c r="N48" s="80">
        <f>[2]интерфейс!K292</f>
        <v>108901.65988962441</v>
      </c>
      <c r="O48" s="80">
        <f>[2]интерфейс!L292</f>
        <v>115693.22098960466</v>
      </c>
      <c r="P48" s="80">
        <f>[2]интерфейс!M292</f>
        <v>119259.75818616492</v>
      </c>
      <c r="Q48" s="80">
        <f>[2]интерфейс!N292</f>
        <v>121554.43213086081</v>
      </c>
      <c r="R48" s="80">
        <f>[2]интерфейс!O292</f>
        <v>120765.62601935625</v>
      </c>
      <c r="S48" s="85">
        <f>[2]интерфейс!P292</f>
        <v>121969.46201650106</v>
      </c>
      <c r="T48" s="80">
        <f>[2]интерфейс!Q292</f>
        <v>151266.11770772299</v>
      </c>
      <c r="U48" s="80">
        <f>[2]интерфейс!R292</f>
        <v>168119.43221212894</v>
      </c>
      <c r="V48" s="80">
        <f>[2]интерфейс!S292</f>
        <v>183504.88205102194</v>
      </c>
      <c r="W48" s="80">
        <f>[2]интерфейс!T292</f>
        <v>197285.63993084859</v>
      </c>
      <c r="X48" s="80">
        <f>[2]интерфейс!U292</f>
        <v>210825.35339930272</v>
      </c>
      <c r="Y48" s="80">
        <f>[2]интерфейс!V292</f>
        <v>227916.43773600069</v>
      </c>
      <c r="Z48" s="80">
        <f>[2]интерфейс!W292</f>
        <v>248660.82210763716</v>
      </c>
      <c r="AA48" s="80">
        <f>[2]интерфейс!X292</f>
        <v>270551.05592982768</v>
      </c>
      <c r="AB48" s="80">
        <f>[2]интерфейс!Y292</f>
        <v>294120.67932437209</v>
      </c>
      <c r="AC48" s="80">
        <f>[2]интерфейс!Z292</f>
        <v>314159.85650843987</v>
      </c>
      <c r="AD48" s="80">
        <f>[2]интерфейс!AA292</f>
        <v>332438.46235974209</v>
      </c>
      <c r="AE48" s="80">
        <f>[2]интерфейс!AB292</f>
        <v>351780.56319598778</v>
      </c>
      <c r="AF48" s="80">
        <f>[2]интерфейс!AC292</f>
        <v>372248.03581413825</v>
      </c>
      <c r="AG48" s="80">
        <f>[2]интерфейс!AD292</f>
        <v>393906.35715789435</v>
      </c>
    </row>
    <row r="49" spans="2:38" x14ac:dyDescent="0.25">
      <c r="F49" t="s">
        <v>54</v>
      </c>
      <c r="G49" s="91">
        <f t="shared" ref="G49:R49" si="8">G35-G48</f>
        <v>4999.9999999999964</v>
      </c>
      <c r="H49">
        <f t="shared" si="8"/>
        <v>5402.4261729265709</v>
      </c>
      <c r="I49">
        <f t="shared" si="8"/>
        <v>5900.7207049857534</v>
      </c>
      <c r="J49">
        <f t="shared" si="8"/>
        <v>7107.1542227177706</v>
      </c>
      <c r="K49">
        <f t="shared" si="8"/>
        <v>7309.4304181365733</v>
      </c>
      <c r="L49">
        <f t="shared" si="8"/>
        <v>7497.6750986040861</v>
      </c>
      <c r="M49">
        <f t="shared" si="8"/>
        <v>7044.3308882491256</v>
      </c>
      <c r="N49">
        <f t="shared" si="8"/>
        <v>6817.2401103755838</v>
      </c>
      <c r="O49">
        <f t="shared" si="8"/>
        <v>10555.779010395345</v>
      </c>
      <c r="P49">
        <f t="shared" si="8"/>
        <v>11649.641813835071</v>
      </c>
      <c r="Q49">
        <f t="shared" si="8"/>
        <v>11014.967869139189</v>
      </c>
      <c r="R49" s="33">
        <f t="shared" si="8"/>
        <v>13535.873980643752</v>
      </c>
      <c r="S49" s="85">
        <f t="shared" ref="S49:AG49" si="9">S35-S48</f>
        <v>12332.037983498944</v>
      </c>
      <c r="T49" s="33">
        <f t="shared" si="9"/>
        <v>151266.11770772299</v>
      </c>
      <c r="U49" s="33">
        <f t="shared" si="9"/>
        <v>168119.43221212894</v>
      </c>
      <c r="V49" s="33">
        <f t="shared" si="9"/>
        <v>183504.88205102194</v>
      </c>
      <c r="W49" s="33">
        <f t="shared" si="9"/>
        <v>197285.63993084859</v>
      </c>
      <c r="X49" s="137">
        <f t="shared" si="9"/>
        <v>210825.35339930272</v>
      </c>
      <c r="Y49" s="33">
        <f t="shared" si="9"/>
        <v>227916.43773600069</v>
      </c>
      <c r="Z49" s="33">
        <f t="shared" si="9"/>
        <v>248660.82210763716</v>
      </c>
      <c r="AA49" s="33">
        <f t="shared" si="9"/>
        <v>270551.05592982768</v>
      </c>
      <c r="AB49" s="33">
        <f t="shared" si="9"/>
        <v>294120.67932437209</v>
      </c>
      <c r="AC49" s="33">
        <f t="shared" si="9"/>
        <v>314159.85650843987</v>
      </c>
      <c r="AD49" s="33">
        <f t="shared" si="9"/>
        <v>332438.46235974209</v>
      </c>
      <c r="AE49" s="33">
        <f t="shared" si="9"/>
        <v>351780.56319598778</v>
      </c>
      <c r="AF49" s="33">
        <f t="shared" si="9"/>
        <v>372248.03581413825</v>
      </c>
      <c r="AG49" s="33">
        <f t="shared" si="9"/>
        <v>393906.35715789435</v>
      </c>
    </row>
    <row r="50" spans="2:38" x14ac:dyDescent="0.25">
      <c r="F50" t="s">
        <v>14</v>
      </c>
      <c r="G50" s="91">
        <v>11165.3</v>
      </c>
      <c r="H50">
        <v>12753.4</v>
      </c>
      <c r="I50">
        <v>15290.7</v>
      </c>
      <c r="J50">
        <v>21737.5</v>
      </c>
      <c r="K50">
        <v>27642.2</v>
      </c>
      <c r="L50">
        <v>35754</v>
      </c>
      <c r="M50">
        <v>41572</v>
      </c>
      <c r="N50">
        <v>45939.1</v>
      </c>
      <c r="O50">
        <v>53156.9</v>
      </c>
      <c r="P50">
        <v>54517.7</v>
      </c>
      <c r="Q50">
        <v>62632.7</v>
      </c>
      <c r="R50" s="33">
        <v>65759.199999999997</v>
      </c>
      <c r="S50" s="85">
        <f>S36</f>
        <v>65759.199999999997</v>
      </c>
      <c r="T50">
        <f>T36</f>
        <v>83247.619229776727</v>
      </c>
      <c r="U50">
        <f t="shared" ref="U50:AG50" si="10">U36</f>
        <v>96483.601750244794</v>
      </c>
      <c r="V50">
        <f t="shared" si="10"/>
        <v>101514.38408232717</v>
      </c>
      <c r="W50">
        <f t="shared" si="10"/>
        <v>114422.99807066527</v>
      </c>
      <c r="X50" s="98">
        <f t="shared" si="10"/>
        <v>128228.70603023698</v>
      </c>
      <c r="Y50">
        <f t="shared" si="10"/>
        <v>145407.35815344364</v>
      </c>
      <c r="Z50">
        <f t="shared" si="10"/>
        <v>166443.63881064852</v>
      </c>
      <c r="AA50">
        <f t="shared" si="10"/>
        <v>190044.81148571536</v>
      </c>
      <c r="AB50">
        <f t="shared" si="10"/>
        <v>216857.38181821327</v>
      </c>
      <c r="AC50">
        <f t="shared" si="10"/>
        <v>243183.00291699715</v>
      </c>
      <c r="AD50">
        <f t="shared" si="10"/>
        <v>270219.57109688094</v>
      </c>
      <c r="AE50">
        <f t="shared" si="10"/>
        <v>300321.66677971295</v>
      </c>
      <c r="AF50">
        <f t="shared" si="10"/>
        <v>333841.25180983444</v>
      </c>
      <c r="AG50">
        <f t="shared" si="10"/>
        <v>371170.99569675134</v>
      </c>
    </row>
    <row r="51" spans="2:38" ht="15.75" thickBot="1" x14ac:dyDescent="0.3">
      <c r="F51" t="s">
        <v>51</v>
      </c>
      <c r="G51" s="91">
        <f t="shared" ref="G51:R51" si="11">G37</f>
        <v>32735.899999999998</v>
      </c>
      <c r="H51">
        <f t="shared" si="11"/>
        <v>38588.1</v>
      </c>
      <c r="I51">
        <f t="shared" si="11"/>
        <v>40299.800000000003</v>
      </c>
      <c r="J51">
        <f t="shared" si="11"/>
        <v>51394.5</v>
      </c>
      <c r="K51">
        <f t="shared" si="11"/>
        <v>61861.7</v>
      </c>
      <c r="L51">
        <f t="shared" si="11"/>
        <v>65023.299999999996</v>
      </c>
      <c r="M51">
        <f t="shared" si="11"/>
        <v>71933.3</v>
      </c>
      <c r="N51">
        <f t="shared" si="11"/>
        <v>69371.7</v>
      </c>
      <c r="O51">
        <f t="shared" si="11"/>
        <v>81362.100000000006</v>
      </c>
      <c r="P51">
        <f t="shared" si="11"/>
        <v>82703.399999999994</v>
      </c>
      <c r="Q51">
        <f t="shared" si="11"/>
        <v>104064.6</v>
      </c>
      <c r="R51" s="34">
        <f t="shared" si="11"/>
        <v>96302.6</v>
      </c>
      <c r="S51" s="86">
        <f t="shared" ref="S51:AG51" si="12">S37</f>
        <v>96302.6</v>
      </c>
      <c r="T51">
        <f t="shared" si="12"/>
        <v>109784.96400000002</v>
      </c>
      <c r="U51">
        <f t="shared" si="12"/>
        <v>121861.31004000004</v>
      </c>
      <c r="V51">
        <f t="shared" si="12"/>
        <v>132828.82794360004</v>
      </c>
      <c r="W51">
        <f t="shared" si="12"/>
        <v>142126.84589965205</v>
      </c>
      <c r="X51" s="98">
        <f t="shared" si="12"/>
        <v>150654.45665363118</v>
      </c>
      <c r="Y51">
        <f t="shared" si="12"/>
        <v>164213.35775245799</v>
      </c>
      <c r="Z51">
        <f t="shared" si="12"/>
        <v>180634.69352770381</v>
      </c>
      <c r="AA51">
        <f t="shared" si="12"/>
        <v>196891.81594519719</v>
      </c>
      <c r="AB51">
        <f t="shared" si="12"/>
        <v>213273.21503183755</v>
      </c>
      <c r="AC51">
        <f t="shared" si="12"/>
        <v>228202.34008406621</v>
      </c>
      <c r="AD51">
        <f t="shared" si="12"/>
        <v>241894.4804891102</v>
      </c>
      <c r="AE51">
        <f t="shared" si="12"/>
        <v>256408.14931845682</v>
      </c>
      <c r="AF51">
        <f t="shared" si="12"/>
        <v>271792.63827756426</v>
      </c>
      <c r="AG51">
        <f t="shared" si="12"/>
        <v>288100.19657421811</v>
      </c>
    </row>
    <row r="52" spans="2:38" x14ac:dyDescent="0.25">
      <c r="F52" s="71" t="s">
        <v>136</v>
      </c>
      <c r="R52" s="6">
        <f>SUM(input2016)</f>
        <v>296363.30000000005</v>
      </c>
      <c r="S52" s="6">
        <f>SUM(input2017)</f>
        <v>296363.30000000005</v>
      </c>
      <c r="T52" s="6">
        <f>SUM(input2018)</f>
        <v>495564.81864522275</v>
      </c>
      <c r="U52">
        <f>SUM(input2019)</f>
        <v>554583.77621450275</v>
      </c>
      <c r="V52">
        <f>SUM(input2020)</f>
        <v>601352.97612797108</v>
      </c>
      <c r="W52">
        <f>SUM(input2021)</f>
        <v>651121.12383201451</v>
      </c>
      <c r="X52" s="98">
        <f>SUM(input2022)</f>
        <v>700533.86948247359</v>
      </c>
      <c r="Y52" s="98">
        <f>SUM(input2023)</f>
        <v>765453.59137790301</v>
      </c>
      <c r="Z52" s="98">
        <f>SUM(input2024)</f>
        <v>844399.97655362659</v>
      </c>
      <c r="AA52" s="98">
        <f>SUM(input2025)</f>
        <v>928038.73929056781</v>
      </c>
      <c r="AB52" s="98">
        <f>SUM(input2026)</f>
        <v>1018371.955498795</v>
      </c>
      <c r="AC52" s="98">
        <f>SUM(input2027)</f>
        <v>1099705.0560179432</v>
      </c>
      <c r="AD52" s="98">
        <f>SUM(input2028)</f>
        <v>1176990.9763054752</v>
      </c>
      <c r="AE52" s="98">
        <f>SUM(input2029)</f>
        <v>1260290.9424901453</v>
      </c>
      <c r="AF52" s="98">
        <f>SUM(input2030)</f>
        <v>1350129.9617156752</v>
      </c>
      <c r="AG52" s="98">
        <f>SUM(input2031)</f>
        <v>1447083.9065867581</v>
      </c>
      <c r="AH52" s="98"/>
      <c r="AI52" s="98"/>
      <c r="AJ52" s="98"/>
      <c r="AK52" s="98"/>
      <c r="AL52" s="98"/>
    </row>
    <row r="53" spans="2:38" ht="15.75" thickBot="1" x14ac:dyDescent="0.3"/>
    <row r="54" spans="2:38" ht="21.75" thickBot="1" x14ac:dyDescent="0.4">
      <c r="B54">
        <v>1</v>
      </c>
      <c r="C54" s="44">
        <v>2016</v>
      </c>
      <c r="E54" s="57" t="s">
        <v>55</v>
      </c>
      <c r="K54" t="s">
        <v>78</v>
      </c>
      <c r="M54" s="136">
        <f>INDEX('Прожит минимум'!$B$5:$P$5,1,B54)</f>
        <v>105536</v>
      </c>
      <c r="N54" s="136">
        <v>105536</v>
      </c>
    </row>
    <row r="55" spans="2:38" x14ac:dyDescent="0.25">
      <c r="G55" t="s">
        <v>66</v>
      </c>
      <c r="K55" s="8"/>
    </row>
    <row r="56" spans="2:38" ht="18.75" x14ac:dyDescent="0.3">
      <c r="E56" t="s">
        <v>56</v>
      </c>
      <c r="G56" s="31">
        <f>E70+E73+E80</f>
        <v>0</v>
      </c>
    </row>
    <row r="57" spans="2:38" ht="21.75" thickBot="1" x14ac:dyDescent="0.4">
      <c r="B57" s="82">
        <f>вход!B19</f>
        <v>11.8</v>
      </c>
      <c r="E57" t="s">
        <v>65</v>
      </c>
      <c r="G57" s="30">
        <f>P80/G80</f>
        <v>7.6100948474299397</v>
      </c>
      <c r="J57" s="111" t="s">
        <v>155</v>
      </c>
      <c r="K57" t="s">
        <v>116</v>
      </c>
      <c r="O57" s="21" t="s">
        <v>144</v>
      </c>
    </row>
    <row r="58" spans="2:38" ht="15.75" thickBot="1" x14ac:dyDescent="0.3">
      <c r="E58" t="s">
        <v>57</v>
      </c>
      <c r="G58" s="29">
        <f>I58</f>
        <v>0.33333333333333331</v>
      </c>
      <c r="I58" s="36">
        <f>((1000000*INDEX(input2016,3)/(G64*ndec1_2016)-10)/45)</f>
        <v>0.33333333333333331</v>
      </c>
      <c r="J58" s="112" t="s">
        <v>153</v>
      </c>
      <c r="K58" s="99">
        <f>INDEX(input2016,3)*1000000/(10*ndec1_2016)</f>
        <v>62046.639335368243</v>
      </c>
      <c r="L58" t="s">
        <v>63</v>
      </c>
      <c r="O58" s="77">
        <f>NNNdec1_2016/10</f>
        <v>105983.5</v>
      </c>
    </row>
    <row r="59" spans="2:38" ht="15.75" thickBot="1" x14ac:dyDescent="0.3">
      <c r="E59" t="s">
        <v>62</v>
      </c>
      <c r="G59" s="29">
        <f>I59</f>
        <v>0.5185185185185186</v>
      </c>
      <c r="I59" s="36">
        <f>(1000000*INDEX(input2016,1)/(H64*ndec1_2016)-10)/45</f>
        <v>0.5185185185185186</v>
      </c>
      <c r="J59" s="112" t="s">
        <v>154</v>
      </c>
      <c r="K59" s="100">
        <f>INDEX(input2016,1)*1000000/(10*ndec1_2016)</f>
        <v>113947.57298952785</v>
      </c>
      <c r="L59" t="s">
        <v>64</v>
      </c>
    </row>
    <row r="60" spans="2:38" ht="15.75" thickBot="1" x14ac:dyDescent="0.3">
      <c r="E60" t="s">
        <v>60</v>
      </c>
      <c r="G60" s="29">
        <f>$L64</f>
        <v>1.3651408101991704</v>
      </c>
      <c r="I60">
        <f>QU</f>
        <v>1.3651408101991704</v>
      </c>
      <c r="J60" s="112" t="s">
        <v>150</v>
      </c>
      <c r="K60" s="101">
        <f>(INDEX(input2016,2)+INDEX(input2016,4))*1000000/(10*ndec1_2016)</f>
        <v>103637.33409506551</v>
      </c>
      <c r="L60" t="s">
        <v>117</v>
      </c>
      <c r="O60">
        <f>ndec1_2016/3</f>
        <v>35327.833333333336</v>
      </c>
    </row>
    <row r="61" spans="2:38" ht="15.75" thickBot="1" x14ac:dyDescent="0.3">
      <c r="G61" s="25"/>
      <c r="H61" s="25"/>
      <c r="I61" s="25"/>
      <c r="J61" s="25"/>
      <c r="K61" s="102"/>
      <c r="L61" s="25"/>
      <c r="M61" s="25"/>
      <c r="N61" s="25"/>
      <c r="O61" s="25"/>
      <c r="P61" s="25"/>
    </row>
    <row r="62" spans="2:38" ht="45.75" thickBot="1" x14ac:dyDescent="0.3">
      <c r="G62" s="26"/>
      <c r="H62" s="27"/>
      <c r="I62" s="27"/>
      <c r="J62" s="27"/>
      <c r="K62" s="27"/>
      <c r="L62" s="27"/>
      <c r="M62" s="27"/>
      <c r="N62" s="27"/>
      <c r="O62" s="97" t="s">
        <v>53</v>
      </c>
      <c r="P62" s="97" t="s">
        <v>54</v>
      </c>
      <c r="Q62" s="96" t="s">
        <v>14</v>
      </c>
      <c r="R62" s="96" t="s">
        <v>51</v>
      </c>
    </row>
    <row r="63" spans="2:38" ht="15.75" thickBot="1" x14ac:dyDescent="0.3">
      <c r="N63" t="s">
        <v>148</v>
      </c>
      <c r="O63" s="41">
        <f>R48</f>
        <v>120765.62601935625</v>
      </c>
      <c r="P63" s="42">
        <f>R49</f>
        <v>13535.873980643752</v>
      </c>
      <c r="Q63" s="42">
        <f>R50</f>
        <v>65759.199999999997</v>
      </c>
      <c r="R63" s="43">
        <f>R51</f>
        <v>96302.6</v>
      </c>
    </row>
    <row r="64" spans="2:38" ht="15.75" thickBot="1" x14ac:dyDescent="0.3">
      <c r="E64" t="s">
        <v>118</v>
      </c>
      <c r="G64" s="103">
        <f>K58*G65</f>
        <v>24818.655734147298</v>
      </c>
      <c r="H64" s="103">
        <f>K59*H65</f>
        <v>34184.27189685835</v>
      </c>
      <c r="I64" s="104">
        <f>K60*I65</f>
        <v>17618.346796161139</v>
      </c>
      <c r="K64" t="s">
        <v>60</v>
      </c>
      <c r="L64" s="46">
        <v>1.3651408101991704</v>
      </c>
      <c r="N64" t="s">
        <v>121</v>
      </c>
      <c r="O64" s="76">
        <f>вход!B23*1000</f>
        <v>1059835</v>
      </c>
    </row>
    <row r="65" spans="5:20" ht="15.75" thickBot="1" x14ac:dyDescent="0.3">
      <c r="E65" t="s">
        <v>119</v>
      </c>
      <c r="G65" s="24">
        <v>0.4</v>
      </c>
      <c r="H65" s="24">
        <v>0.3</v>
      </c>
      <c r="I65" s="24">
        <v>0.17</v>
      </c>
      <c r="N65" t="s">
        <v>69</v>
      </c>
      <c r="O65" s="47">
        <f>dohod2016</f>
        <v>296363.30000000005</v>
      </c>
    </row>
    <row r="66" spans="5:20" x14ac:dyDescent="0.25">
      <c r="G66" s="72"/>
      <c r="H66" s="72"/>
      <c r="I66" s="72"/>
      <c r="O66" s="73"/>
    </row>
    <row r="67" spans="5:20" x14ac:dyDescent="0.25">
      <c r="E67" s="75" t="s">
        <v>58</v>
      </c>
    </row>
    <row r="68" spans="5:20" x14ac:dyDescent="0.25">
      <c r="G68" s="25">
        <v>1</v>
      </c>
      <c r="H68" s="25">
        <v>2</v>
      </c>
      <c r="I68" s="25">
        <v>3</v>
      </c>
      <c r="J68" s="25">
        <v>4</v>
      </c>
      <c r="K68" s="25">
        <v>5</v>
      </c>
      <c r="L68" s="25">
        <v>6</v>
      </c>
      <c r="M68" s="25">
        <v>7</v>
      </c>
      <c r="N68" s="25">
        <v>8</v>
      </c>
      <c r="O68" s="25">
        <v>9</v>
      </c>
      <c r="P68" s="25">
        <v>10</v>
      </c>
    </row>
    <row r="69" spans="5:20" ht="15.75" thickBot="1" x14ac:dyDescent="0.3">
      <c r="E69" t="s">
        <v>61</v>
      </c>
      <c r="G69" s="6">
        <f>$G64</f>
        <v>24818.655734147298</v>
      </c>
      <c r="H69" s="6">
        <f t="shared" ref="H69:P69" si="13">$G64*(1+(H68-1)*TempRostaSocTr2016)</f>
        <v>33091.540978863064</v>
      </c>
      <c r="I69" s="6">
        <f t="shared" si="13"/>
        <v>41364.426223578826</v>
      </c>
      <c r="J69" s="6">
        <f t="shared" si="13"/>
        <v>49637.311468294596</v>
      </c>
      <c r="K69" s="6">
        <f t="shared" si="13"/>
        <v>57910.196713010351</v>
      </c>
      <c r="L69" s="6">
        <f t="shared" si="13"/>
        <v>66183.081957726128</v>
      </c>
      <c r="M69" s="6">
        <f t="shared" si="13"/>
        <v>74455.967202441898</v>
      </c>
      <c r="N69" s="6">
        <f t="shared" si="13"/>
        <v>82728.852447157653</v>
      </c>
      <c r="O69" s="6">
        <f t="shared" si="13"/>
        <v>91001.737691873423</v>
      </c>
      <c r="P69" s="6">
        <f t="shared" si="13"/>
        <v>99274.622936589192</v>
      </c>
    </row>
    <row r="70" spans="5:20" ht="15.75" thickBot="1" x14ac:dyDescent="0.3">
      <c r="E70" s="110">
        <f>SUM(G69:P69)-10000000*$Q63/NNNdec1_2016</f>
        <v>0</v>
      </c>
    </row>
    <row r="71" spans="5:20" x14ac:dyDescent="0.25">
      <c r="E71" t="s">
        <v>133</v>
      </c>
    </row>
    <row r="72" spans="5:20" ht="15.75" thickBot="1" x14ac:dyDescent="0.3">
      <c r="E72" t="s">
        <v>61</v>
      </c>
      <c r="G72" s="25">
        <v>1</v>
      </c>
      <c r="H72" s="25">
        <v>2</v>
      </c>
      <c r="I72" s="25">
        <v>3</v>
      </c>
      <c r="J72" s="25">
        <v>4</v>
      </c>
      <c r="K72" s="25">
        <v>5</v>
      </c>
      <c r="L72" s="25">
        <v>6</v>
      </c>
      <c r="M72" s="25">
        <v>7</v>
      </c>
      <c r="N72" s="25">
        <v>8</v>
      </c>
      <c r="O72" s="25">
        <v>9</v>
      </c>
      <c r="P72" s="25">
        <v>10</v>
      </c>
    </row>
    <row r="73" spans="5:20" ht="15.75" thickBot="1" x14ac:dyDescent="0.3">
      <c r="E73" s="28">
        <f>SUM(G73:P73)-10000000*$O63/NNNdec1_2016</f>
        <v>0</v>
      </c>
      <c r="G73" s="6">
        <f>$H64</f>
        <v>34184.27189685835</v>
      </c>
      <c r="H73">
        <f>$H64*(1+(H72-1)*$G$59)</f>
        <v>51909.449917451573</v>
      </c>
      <c r="I73">
        <f t="shared" ref="I73:P73" si="14">$H64*(1+(I72-1)*$G$59)</f>
        <v>69634.627938044796</v>
      </c>
      <c r="J73">
        <f t="shared" si="14"/>
        <v>87359.805958638011</v>
      </c>
      <c r="K73">
        <f t="shared" si="14"/>
        <v>105084.98397923124</v>
      </c>
      <c r="L73">
        <f t="shared" si="14"/>
        <v>122810.16199982446</v>
      </c>
      <c r="M73">
        <f t="shared" si="14"/>
        <v>140535.34002041767</v>
      </c>
      <c r="N73">
        <f t="shared" si="14"/>
        <v>158260.51804101089</v>
      </c>
      <c r="O73">
        <f t="shared" si="14"/>
        <v>175985.69606160413</v>
      </c>
      <c r="P73">
        <f t="shared" si="14"/>
        <v>193710.87408219735</v>
      </c>
    </row>
    <row r="75" spans="5:20" x14ac:dyDescent="0.25">
      <c r="E75" t="s">
        <v>138</v>
      </c>
    </row>
    <row r="76" spans="5:20" x14ac:dyDescent="0.25">
      <c r="G76" s="25">
        <v>1</v>
      </c>
      <c r="H76" s="25">
        <v>2</v>
      </c>
      <c r="I76" s="25">
        <v>3</v>
      </c>
      <c r="J76" s="25">
        <v>4</v>
      </c>
      <c r="K76" s="25">
        <v>5</v>
      </c>
      <c r="L76" s="25">
        <v>6</v>
      </c>
      <c r="M76" s="25">
        <v>7</v>
      </c>
      <c r="N76" s="25">
        <v>8</v>
      </c>
      <c r="O76" s="25">
        <v>9</v>
      </c>
      <c r="P76" s="25">
        <v>10</v>
      </c>
    </row>
    <row r="77" spans="5:20" x14ac:dyDescent="0.25">
      <c r="G77">
        <f>$I64</f>
        <v>17618.346796161139</v>
      </c>
      <c r="H77">
        <f>G77*$L64</f>
        <v>24051.524219681374</v>
      </c>
      <c r="I77">
        <f t="shared" ref="I77:P77" si="15">H77*$L64</f>
        <v>32833.717259780802</v>
      </c>
      <c r="J77">
        <f t="shared" si="15"/>
        <v>44822.647381867653</v>
      </c>
      <c r="K77">
        <f t="shared" si="15"/>
        <v>61189.225162154537</v>
      </c>
      <c r="L77">
        <f t="shared" si="15"/>
        <v>83531.908413323108</v>
      </c>
      <c r="M77">
        <f t="shared" si="15"/>
        <v>114032.81712884681</v>
      </c>
      <c r="N77">
        <f t="shared" si="15"/>
        <v>155670.85236456778</v>
      </c>
      <c r="O77">
        <f t="shared" si="15"/>
        <v>212512.63352136151</v>
      </c>
      <c r="P77">
        <f t="shared" si="15"/>
        <v>290109.66870291083</v>
      </c>
    </row>
    <row r="79" spans="5:20" ht="15.75" thickBot="1" x14ac:dyDescent="0.3">
      <c r="E79" t="s">
        <v>120</v>
      </c>
      <c r="G79" s="25">
        <v>1</v>
      </c>
      <c r="H79" s="25">
        <v>2</v>
      </c>
      <c r="I79" s="25">
        <v>3</v>
      </c>
      <c r="J79" s="25">
        <v>4</v>
      </c>
      <c r="K79" s="25">
        <v>5</v>
      </c>
      <c r="L79" s="25">
        <v>6</v>
      </c>
      <c r="M79" s="25">
        <v>7</v>
      </c>
      <c r="N79" s="25">
        <v>8</v>
      </c>
      <c r="O79" s="25">
        <v>9</v>
      </c>
      <c r="P79" s="25">
        <v>10</v>
      </c>
    </row>
    <row r="80" spans="5:20" ht="19.5" thickBot="1" x14ac:dyDescent="0.35">
      <c r="E80" s="110">
        <f>SUM(G80:P80)*ndec1_2016-1000000*O65</f>
        <v>0</v>
      </c>
      <c r="G80" s="93">
        <f>G69+G73+G77</f>
        <v>76621.274427166791</v>
      </c>
      <c r="H80" s="94">
        <f t="shared" ref="H80:P80" si="16">H69+H73+H77</f>
        <v>109052.51511599602</v>
      </c>
      <c r="I80" s="94">
        <f t="shared" si="16"/>
        <v>143832.77142140441</v>
      </c>
      <c r="J80" s="94">
        <f t="shared" si="16"/>
        <v>181819.76480880028</v>
      </c>
      <c r="K80" s="94">
        <f t="shared" si="16"/>
        <v>224184.40585439611</v>
      </c>
      <c r="L80" s="94">
        <f t="shared" si="16"/>
        <v>272525.15237087372</v>
      </c>
      <c r="M80" s="94">
        <f t="shared" si="16"/>
        <v>329024.12435170641</v>
      </c>
      <c r="N80" s="94">
        <f t="shared" si="16"/>
        <v>396660.22285273636</v>
      </c>
      <c r="O80" s="94">
        <f t="shared" si="16"/>
        <v>479500.06727483904</v>
      </c>
      <c r="P80" s="95">
        <f t="shared" si="16"/>
        <v>583095.16572169738</v>
      </c>
      <c r="Q80" t="s">
        <v>74</v>
      </c>
      <c r="T80" s="55" t="s">
        <v>75</v>
      </c>
    </row>
    <row r="82" spans="2:24" s="107" customFormat="1" ht="6" customHeight="1" x14ac:dyDescent="0.25">
      <c r="X82" s="98"/>
    </row>
    <row r="83" spans="2:24" ht="15.75" thickBot="1" x14ac:dyDescent="0.3"/>
    <row r="84" spans="2:24" ht="21.75" thickBot="1" x14ac:dyDescent="0.4">
      <c r="B84">
        <v>2</v>
      </c>
      <c r="C84" s="44">
        <v>2017</v>
      </c>
      <c r="E84" s="57" t="s">
        <v>55</v>
      </c>
      <c r="K84" t="s">
        <v>78</v>
      </c>
      <c r="M84" s="136">
        <f>INDEX('Прожит минимум'!$B$5:$P$5,1,B84)</f>
        <v>129396</v>
      </c>
    </row>
    <row r="86" spans="2:24" x14ac:dyDescent="0.25">
      <c r="G86" t="s">
        <v>66</v>
      </c>
      <c r="K86" s="8"/>
    </row>
    <row r="87" spans="2:24" ht="18.75" x14ac:dyDescent="0.3">
      <c r="E87" t="s">
        <v>187</v>
      </c>
      <c r="G87" s="31">
        <f>E101+E104+E111</f>
        <v>0</v>
      </c>
    </row>
    <row r="88" spans="2:24" ht="21.75" thickBot="1" x14ac:dyDescent="0.4">
      <c r="B88" s="82">
        <v>11.8</v>
      </c>
      <c r="E88" t="s">
        <v>65</v>
      </c>
      <c r="G88" s="30">
        <f>P111/G111</f>
        <v>7.9482058027952673</v>
      </c>
      <c r="J88" s="111" t="s">
        <v>155</v>
      </c>
      <c r="K88" t="s">
        <v>116</v>
      </c>
      <c r="O88" s="21" t="s">
        <v>144</v>
      </c>
    </row>
    <row r="89" spans="2:24" ht="15.75" thickBot="1" x14ac:dyDescent="0.3">
      <c r="E89" t="s">
        <v>57</v>
      </c>
      <c r="G89" s="29">
        <f>I89</f>
        <v>0.33333333333333326</v>
      </c>
      <c r="I89" s="36">
        <f>((1000000*INDEX(input2017,3)/(G95*ndec1_2017)-10)/45)</f>
        <v>0.33333333333333326</v>
      </c>
      <c r="J89" s="112" t="s">
        <v>153</v>
      </c>
      <c r="K89" s="99">
        <f>INDEX(input2017,3)*1000000/(10*ndec1_2017)</f>
        <v>62632.999115164777</v>
      </c>
      <c r="L89" t="s">
        <v>63</v>
      </c>
      <c r="O89" s="77">
        <f>NNNdec1_2017/10</f>
        <v>104991.3</v>
      </c>
    </row>
    <row r="90" spans="2:24" ht="15.75" thickBot="1" x14ac:dyDescent="0.3">
      <c r="E90" t="s">
        <v>62</v>
      </c>
      <c r="G90" s="29">
        <f>I90</f>
        <v>0.51851851851851838</v>
      </c>
      <c r="I90" s="36">
        <f>(1000000*INDEX(input2017,1)/(H95*ndec1_2017)-10)/45</f>
        <v>0.51851851851851838</v>
      </c>
      <c r="J90" s="112" t="s">
        <v>154</v>
      </c>
      <c r="K90" s="100">
        <f>INDEX(input2017,1)*1000000/(10*ndec1_2017)</f>
        <v>116171.01799530156</v>
      </c>
      <c r="L90" t="s">
        <v>64</v>
      </c>
    </row>
    <row r="91" spans="2:24" ht="15.75" thickBot="1" x14ac:dyDescent="0.3">
      <c r="E91" t="s">
        <v>60</v>
      </c>
      <c r="G91" s="29">
        <f>$L95</f>
        <v>1.3905924167841621</v>
      </c>
      <c r="I91">
        <f>L95</f>
        <v>1.3905924167841621</v>
      </c>
      <c r="J91" s="112" t="s">
        <v>150</v>
      </c>
      <c r="K91" s="101">
        <f>(INDEX(input2017,2)+INDEX(input2017,4))*1000000/(10*ndec1_2017)</f>
        <v>103470.13322389469</v>
      </c>
      <c r="L91" t="s">
        <v>117</v>
      </c>
    </row>
    <row r="92" spans="2:24" x14ac:dyDescent="0.25">
      <c r="G92" s="25"/>
      <c r="H92" s="25"/>
      <c r="I92" s="25"/>
      <c r="J92" s="25"/>
      <c r="K92" s="102"/>
      <c r="L92" s="25"/>
      <c r="M92" s="25"/>
      <c r="N92" s="25"/>
      <c r="O92" s="25"/>
      <c r="P92" s="25"/>
    </row>
    <row r="93" spans="2:24" ht="45.75" thickBot="1" x14ac:dyDescent="0.3">
      <c r="G93" s="126"/>
      <c r="H93" s="126"/>
      <c r="I93" s="126"/>
      <c r="J93" s="126"/>
      <c r="K93" s="126"/>
      <c r="L93" s="126"/>
      <c r="M93" s="126"/>
      <c r="N93" s="126"/>
      <c r="O93" s="97" t="s">
        <v>53</v>
      </c>
      <c r="P93" s="97" t="s">
        <v>54</v>
      </c>
      <c r="Q93" s="96" t="s">
        <v>14</v>
      </c>
      <c r="R93" s="96" t="s">
        <v>51</v>
      </c>
    </row>
    <row r="94" spans="2:24" ht="15.75" thickBot="1" x14ac:dyDescent="0.3">
      <c r="N94" t="s">
        <v>148</v>
      </c>
      <c r="O94" s="41">
        <f>INDEX(input2017,1)</f>
        <v>121969.46201650106</v>
      </c>
      <c r="P94" s="41">
        <f>INDEX(input2017,2)</f>
        <v>12332.037983498944</v>
      </c>
      <c r="Q94" s="41">
        <f>INDEX(input2017,3)</f>
        <v>65759.199999999997</v>
      </c>
      <c r="R94" s="41">
        <f>INDEX(input2017,4)</f>
        <v>96302.6</v>
      </c>
    </row>
    <row r="95" spans="2:24" ht="15.75" thickBot="1" x14ac:dyDescent="0.3">
      <c r="E95" t="s">
        <v>118</v>
      </c>
      <c r="G95" s="103">
        <f>K89*G96</f>
        <v>25053.199646065914</v>
      </c>
      <c r="H95" s="103">
        <f>K90*H96</f>
        <v>34851.30539859047</v>
      </c>
      <c r="I95" s="104">
        <f>K91*I96</f>
        <v>15520.519983584203</v>
      </c>
      <c r="K95" t="s">
        <v>60</v>
      </c>
      <c r="L95" s="46">
        <v>1.3905924167841621</v>
      </c>
      <c r="N95" t="s">
        <v>121</v>
      </c>
      <c r="O95" s="76">
        <f>вход!C23*1000</f>
        <v>1049913</v>
      </c>
    </row>
    <row r="96" spans="2:24" ht="15.75" thickBot="1" x14ac:dyDescent="0.3">
      <c r="E96" t="s">
        <v>119</v>
      </c>
      <c r="G96" s="24">
        <v>0.4</v>
      </c>
      <c r="H96" s="24">
        <v>0.3</v>
      </c>
      <c r="I96" s="24">
        <v>0.15</v>
      </c>
      <c r="N96" t="s">
        <v>69</v>
      </c>
      <c r="O96" s="106">
        <f>dohod2017</f>
        <v>296363.30000000005</v>
      </c>
    </row>
    <row r="97" spans="5:20" x14ac:dyDescent="0.25">
      <c r="G97" s="72"/>
      <c r="H97" s="72"/>
      <c r="I97" s="72"/>
      <c r="O97" s="73"/>
    </row>
    <row r="98" spans="5:20" x14ac:dyDescent="0.25">
      <c r="E98" s="75" t="s">
        <v>58</v>
      </c>
    </row>
    <row r="99" spans="5:20" x14ac:dyDescent="0.25">
      <c r="G99" s="25">
        <v>1</v>
      </c>
      <c r="H99" s="25">
        <v>2</v>
      </c>
      <c r="I99" s="25">
        <v>3</v>
      </c>
      <c r="J99" s="25">
        <v>4</v>
      </c>
      <c r="K99" s="25">
        <v>5</v>
      </c>
      <c r="L99" s="25">
        <v>6</v>
      </c>
      <c r="M99" s="25">
        <v>7</v>
      </c>
      <c r="N99" s="25">
        <v>8</v>
      </c>
      <c r="O99" s="25">
        <v>9</v>
      </c>
      <c r="P99" s="25">
        <v>10</v>
      </c>
    </row>
    <row r="100" spans="5:20" ht="15.75" thickBot="1" x14ac:dyDescent="0.3">
      <c r="E100" t="s">
        <v>61</v>
      </c>
      <c r="G100" s="6">
        <f>$G95</f>
        <v>25053.199646065914</v>
      </c>
      <c r="H100" s="6">
        <f>$G95*(1+(H99-1)*TempRostaSocTr2017)</f>
        <v>33404.266194754549</v>
      </c>
      <c r="I100" s="6">
        <f t="shared" ref="I100:P100" si="17">$G95*(1+(I99-1)*TempRostaSocTr2016)</f>
        <v>41755.332743443185</v>
      </c>
      <c r="J100" s="6">
        <f t="shared" si="17"/>
        <v>50106.399292131828</v>
      </c>
      <c r="K100" s="6">
        <f t="shared" si="17"/>
        <v>58457.465840820456</v>
      </c>
      <c r="L100" s="6">
        <f t="shared" si="17"/>
        <v>66808.532389509099</v>
      </c>
      <c r="M100" s="6">
        <f t="shared" si="17"/>
        <v>75159.598938197742</v>
      </c>
      <c r="N100" s="6">
        <f t="shared" si="17"/>
        <v>83510.66548688637</v>
      </c>
      <c r="O100" s="6">
        <f t="shared" si="17"/>
        <v>91861.732035575013</v>
      </c>
      <c r="P100" s="6">
        <f t="shared" si="17"/>
        <v>100212.79858426366</v>
      </c>
    </row>
    <row r="101" spans="5:20" ht="15.75" thickBot="1" x14ac:dyDescent="0.3">
      <c r="E101" s="110">
        <f>SUM(G100:P100)-10000000*$Q94/NNNdec1_2017</f>
        <v>0</v>
      </c>
    </row>
    <row r="102" spans="5:20" x14ac:dyDescent="0.25">
      <c r="E102" t="s">
        <v>133</v>
      </c>
    </row>
    <row r="103" spans="5:20" ht="15.75" thickBot="1" x14ac:dyDescent="0.3">
      <c r="E103" t="s">
        <v>61</v>
      </c>
      <c r="G103" s="25">
        <v>1</v>
      </c>
      <c r="H103" s="25">
        <v>2</v>
      </c>
      <c r="I103" s="25">
        <v>3</v>
      </c>
      <c r="J103" s="25">
        <v>4</v>
      </c>
      <c r="K103" s="25">
        <v>5</v>
      </c>
      <c r="L103" s="25">
        <v>6</v>
      </c>
      <c r="M103" s="25">
        <v>7</v>
      </c>
      <c r="N103" s="25">
        <v>8</v>
      </c>
      <c r="O103" s="25">
        <v>9</v>
      </c>
      <c r="P103" s="25">
        <v>10</v>
      </c>
    </row>
    <row r="104" spans="5:20" ht="15.75" thickBot="1" x14ac:dyDescent="0.3">
      <c r="E104" s="110">
        <f>SUM(G104:P104)-10000000*$O94/NNNdec1_2017</f>
        <v>0</v>
      </c>
      <c r="G104" s="6">
        <f>$H95</f>
        <v>34851.30539859047</v>
      </c>
      <c r="H104" s="6">
        <f>$H95*(1+(H103-1)*$G$90)</f>
        <v>52922.352642304038</v>
      </c>
      <c r="I104" s="6">
        <f t="shared" ref="I104:P104" si="18">$H95*(1+(I103-1)*$G$90)</f>
        <v>70993.399886017607</v>
      </c>
      <c r="J104" s="6">
        <f t="shared" si="18"/>
        <v>89064.447129731197</v>
      </c>
      <c r="K104" s="6">
        <f t="shared" si="18"/>
        <v>107135.49437344476</v>
      </c>
      <c r="L104" s="6">
        <f t="shared" si="18"/>
        <v>125206.54161715832</v>
      </c>
      <c r="M104" s="6">
        <f t="shared" si="18"/>
        <v>143277.58886087191</v>
      </c>
      <c r="N104" s="6">
        <f t="shared" si="18"/>
        <v>161348.63610458549</v>
      </c>
      <c r="O104" s="6">
        <f t="shared" si="18"/>
        <v>179419.68334829903</v>
      </c>
      <c r="P104" s="6">
        <f t="shared" si="18"/>
        <v>197490.73059201261</v>
      </c>
    </row>
    <row r="106" spans="5:20" x14ac:dyDescent="0.25">
      <c r="E106" t="s">
        <v>138</v>
      </c>
    </row>
    <row r="107" spans="5:20" x14ac:dyDescent="0.25">
      <c r="G107" s="25">
        <v>1</v>
      </c>
      <c r="H107" s="25">
        <v>2</v>
      </c>
      <c r="I107" s="25">
        <v>3</v>
      </c>
      <c r="J107" s="25">
        <v>4</v>
      </c>
      <c r="K107" s="25">
        <v>5</v>
      </c>
      <c r="L107" s="25">
        <v>6</v>
      </c>
      <c r="M107" s="25">
        <v>7</v>
      </c>
      <c r="N107" s="25">
        <v>8</v>
      </c>
      <c r="O107" s="25">
        <v>9</v>
      </c>
      <c r="P107" s="25">
        <v>10</v>
      </c>
    </row>
    <row r="108" spans="5:20" x14ac:dyDescent="0.25">
      <c r="G108">
        <f>$I95</f>
        <v>15520.519983584203</v>
      </c>
      <c r="H108">
        <f>G108*$L95</f>
        <v>21582.717393719242</v>
      </c>
      <c r="I108">
        <f t="shared" ref="I108" si="19">H108*$L95</f>
        <v>30012.763141301613</v>
      </c>
      <c r="J108">
        <f t="shared" ref="J108" si="20">I108*$L95</f>
        <v>41735.520831033231</v>
      </c>
      <c r="K108">
        <f t="shared" ref="K108" si="21">J108*$L95</f>
        <v>58037.098778172243</v>
      </c>
      <c r="L108">
        <f t="shared" ref="L108" si="22">K108*$L95</f>
        <v>80705.94945307968</v>
      </c>
      <c r="M108">
        <f t="shared" ref="M108" si="23">L108*$L95</f>
        <v>112229.08129881851</v>
      </c>
      <c r="N108">
        <f t="shared" ref="N108" si="24">M108*$L95</f>
        <v>156064.90939679023</v>
      </c>
      <c r="O108">
        <f t="shared" ref="O108" si="25">N108*$L95</f>
        <v>217022.67953328381</v>
      </c>
      <c r="P108">
        <f t="shared" ref="P108" si="26">O108*$L95</f>
        <v>301790.09242916387</v>
      </c>
    </row>
    <row r="110" spans="5:20" ht="15.75" thickBot="1" x14ac:dyDescent="0.3">
      <c r="E110" t="s">
        <v>120</v>
      </c>
      <c r="G110" s="25">
        <v>1</v>
      </c>
      <c r="H110" s="25">
        <v>2</v>
      </c>
      <c r="I110" s="25">
        <v>3</v>
      </c>
      <c r="J110" s="25">
        <v>4</v>
      </c>
      <c r="K110" s="25">
        <v>5</v>
      </c>
      <c r="L110" s="25">
        <v>6</v>
      </c>
      <c r="M110" s="25">
        <v>7</v>
      </c>
      <c r="N110" s="25">
        <v>8</v>
      </c>
      <c r="O110" s="25">
        <v>9</v>
      </c>
      <c r="P110" s="25">
        <v>10</v>
      </c>
    </row>
    <row r="111" spans="5:20" ht="19.5" thickBot="1" x14ac:dyDescent="0.35">
      <c r="E111" s="110">
        <f>SUM(G111:P111)*ndec1_2017-1000000*O96</f>
        <v>0</v>
      </c>
      <c r="G111" s="93">
        <f>G100+G104+G108</f>
        <v>75425.02502824059</v>
      </c>
      <c r="H111" s="94">
        <f t="shared" ref="H111:P111" si="27">H100+H104+H108</f>
        <v>107909.33623077783</v>
      </c>
      <c r="I111" s="94">
        <f t="shared" si="27"/>
        <v>142761.49577076241</v>
      </c>
      <c r="J111" s="94">
        <f t="shared" si="27"/>
        <v>180906.36725289625</v>
      </c>
      <c r="K111" s="94">
        <f t="shared" si="27"/>
        <v>223630.05899243747</v>
      </c>
      <c r="L111" s="94">
        <f t="shared" si="27"/>
        <v>272721.02345974708</v>
      </c>
      <c r="M111" s="94">
        <f t="shared" si="27"/>
        <v>330666.26909788814</v>
      </c>
      <c r="N111" s="94">
        <f t="shared" si="27"/>
        <v>400924.21098826209</v>
      </c>
      <c r="O111" s="94">
        <f t="shared" si="27"/>
        <v>488304.09491715784</v>
      </c>
      <c r="P111" s="95">
        <f t="shared" si="27"/>
        <v>599493.62160544016</v>
      </c>
      <c r="Q111" t="s">
        <v>76</v>
      </c>
      <c r="T111" s="55" t="s">
        <v>77</v>
      </c>
    </row>
    <row r="114" spans="2:24" s="107" customFormat="1" ht="6" customHeight="1" x14ac:dyDescent="0.25">
      <c r="X114" s="98"/>
    </row>
    <row r="116" spans="2:24" ht="15.75" thickBot="1" x14ac:dyDescent="0.3"/>
    <row r="117" spans="2:24" ht="21.75" thickBot="1" x14ac:dyDescent="0.4">
      <c r="B117">
        <v>3</v>
      </c>
      <c r="C117" s="44">
        <v>2018</v>
      </c>
      <c r="E117" s="57" t="s">
        <v>55</v>
      </c>
      <c r="K117" t="s">
        <v>78</v>
      </c>
      <c r="M117" s="136">
        <f>INDEX('Прожит минимум'!$B$5:$P$5,1,B117)</f>
        <v>147511.44</v>
      </c>
    </row>
    <row r="119" spans="2:24" x14ac:dyDescent="0.25">
      <c r="G119" t="s">
        <v>66</v>
      </c>
      <c r="K119" s="8"/>
    </row>
    <row r="120" spans="2:24" ht="18.75" x14ac:dyDescent="0.3">
      <c r="E120" t="s">
        <v>188</v>
      </c>
      <c r="G120" s="31">
        <f>E134+E137+E144</f>
        <v>0</v>
      </c>
    </row>
    <row r="121" spans="2:24" ht="21.75" thickBot="1" x14ac:dyDescent="0.4">
      <c r="B121" s="82">
        <v>11.8</v>
      </c>
      <c r="E121" t="s">
        <v>65</v>
      </c>
      <c r="G121" s="30">
        <f>P144/G144</f>
        <v>8.2554462432567419</v>
      </c>
      <c r="J121" s="111" t="s">
        <v>155</v>
      </c>
      <c r="K121" t="s">
        <v>116</v>
      </c>
      <c r="O121" s="21" t="s">
        <v>144</v>
      </c>
    </row>
    <row r="122" spans="2:24" ht="15.75" thickBot="1" x14ac:dyDescent="0.3">
      <c r="E122" t="s">
        <v>57</v>
      </c>
      <c r="G122" s="29">
        <f>I122</f>
        <v>0.33333333333333331</v>
      </c>
      <c r="I122" s="36">
        <f>((1000000*INDEX(input2018,3)/(G128*ndec1_2018)-10)/45)</f>
        <v>0.33333333333333331</v>
      </c>
      <c r="J122" s="112" t="s">
        <v>153</v>
      </c>
      <c r="K122" s="99">
        <f>INDEX(input2018,3)*1000000/(10*ndec1_2018)</f>
        <v>80137.637782705497</v>
      </c>
      <c r="L122" t="s">
        <v>63</v>
      </c>
      <c r="O122" s="77">
        <f>NNNdec1_2018/10</f>
        <v>103880.8</v>
      </c>
    </row>
    <row r="123" spans="2:24" ht="15.75" thickBot="1" x14ac:dyDescent="0.3">
      <c r="E123" t="s">
        <v>62</v>
      </c>
      <c r="G123" s="29">
        <f>I123</f>
        <v>0.5185185185185186</v>
      </c>
      <c r="I123" s="36">
        <f>(1000000*INDEX(input2018,1)/(H128*ndec1_2018)-10)/45</f>
        <v>0.5185185185185186</v>
      </c>
      <c r="J123" s="112" t="s">
        <v>154</v>
      </c>
      <c r="K123" s="100">
        <f>INDEX(input2018,1)*1000000/(10*ndec1_2018)</f>
        <v>145615.08739605683</v>
      </c>
      <c r="L123" t="s">
        <v>64</v>
      </c>
    </row>
    <row r="124" spans="2:24" ht="15.75" thickBot="1" x14ac:dyDescent="0.3">
      <c r="E124" t="s">
        <v>60</v>
      </c>
      <c r="G124" s="29">
        <f>$L128</f>
        <v>1.3322320995444401</v>
      </c>
      <c r="I124">
        <f>QU</f>
        <v>1.3651408101991704</v>
      </c>
      <c r="J124" s="112" t="s">
        <v>150</v>
      </c>
      <c r="K124" s="101">
        <f>(INDEX(input2018,2)+INDEX(input2018,4))*1000000/(10*ndec1_2018)</f>
        <v>251298.68243960675</v>
      </c>
      <c r="L124" t="s">
        <v>117</v>
      </c>
    </row>
    <row r="125" spans="2:24" x14ac:dyDescent="0.25">
      <c r="G125" s="25"/>
      <c r="H125" s="25"/>
      <c r="I125" s="25"/>
      <c r="J125" s="25"/>
      <c r="K125" s="102"/>
      <c r="L125" s="25"/>
      <c r="M125" s="25"/>
      <c r="N125" s="25"/>
      <c r="O125" s="25"/>
      <c r="P125" s="25"/>
    </row>
    <row r="126" spans="2:24" ht="45.75" thickBot="1" x14ac:dyDescent="0.3">
      <c r="G126" s="126"/>
      <c r="H126" s="126"/>
      <c r="I126" s="126"/>
      <c r="J126" s="126"/>
      <c r="K126" s="126"/>
      <c r="L126" s="126"/>
      <c r="M126" s="126"/>
      <c r="N126" s="126"/>
      <c r="O126" s="97" t="s">
        <v>53</v>
      </c>
      <c r="P126" s="97" t="s">
        <v>54</v>
      </c>
      <c r="Q126" s="96" t="s">
        <v>14</v>
      </c>
      <c r="R126" s="96" t="s">
        <v>51</v>
      </c>
    </row>
    <row r="127" spans="2:24" ht="15.75" thickBot="1" x14ac:dyDescent="0.3">
      <c r="N127" t="s">
        <v>148</v>
      </c>
      <c r="O127" s="41">
        <f>INDEX(input2018,1)</f>
        <v>151266.11770772299</v>
      </c>
      <c r="P127" s="41">
        <f>INDEX(input2018,2)</f>
        <v>151266.11770772299</v>
      </c>
      <c r="Q127" s="41">
        <f>INDEX(input2018,3)</f>
        <v>83247.619229776727</v>
      </c>
      <c r="R127" s="41">
        <f>INDEX(input2018,4)</f>
        <v>109784.96400000002</v>
      </c>
    </row>
    <row r="128" spans="2:24" ht="15.75" thickBot="1" x14ac:dyDescent="0.3">
      <c r="E128" t="s">
        <v>118</v>
      </c>
      <c r="G128" s="103">
        <f>K122*G129</f>
        <v>32055.055113082199</v>
      </c>
      <c r="H128" s="103">
        <f>K123*H129</f>
        <v>43684.526218817045</v>
      </c>
      <c r="I128" s="104">
        <f>K124*I129</f>
        <v>50259.736487921356</v>
      </c>
      <c r="K128" t="s">
        <v>60</v>
      </c>
      <c r="L128" s="46">
        <v>1.3322320995444401</v>
      </c>
      <c r="N128" t="s">
        <v>121</v>
      </c>
      <c r="O128" s="76">
        <f>вход!D23*1000</f>
        <v>1038808</v>
      </c>
    </row>
    <row r="129" spans="5:20" ht="15.75" thickBot="1" x14ac:dyDescent="0.3">
      <c r="E129" t="s">
        <v>119</v>
      </c>
      <c r="G129" s="24">
        <v>0.4</v>
      </c>
      <c r="H129" s="24">
        <v>0.3</v>
      </c>
      <c r="I129" s="24">
        <v>0.2</v>
      </c>
      <c r="N129" t="s">
        <v>69</v>
      </c>
      <c r="O129" s="106">
        <f>dohod2018</f>
        <v>495564.81864522275</v>
      </c>
    </row>
    <row r="130" spans="5:20" x14ac:dyDescent="0.25">
      <c r="G130" s="72"/>
      <c r="H130" s="72"/>
      <c r="I130" s="72"/>
      <c r="O130" s="73"/>
    </row>
    <row r="131" spans="5:20" x14ac:dyDescent="0.25">
      <c r="E131" s="75" t="s">
        <v>58</v>
      </c>
    </row>
    <row r="132" spans="5:20" x14ac:dyDescent="0.25">
      <c r="G132" s="25">
        <v>1</v>
      </c>
      <c r="H132" s="25">
        <v>2</v>
      </c>
      <c r="I132" s="25">
        <v>3</v>
      </c>
      <c r="J132" s="25">
        <v>4</v>
      </c>
      <c r="K132" s="25">
        <v>5</v>
      </c>
      <c r="L132" s="25">
        <v>6</v>
      </c>
      <c r="M132" s="25">
        <v>7</v>
      </c>
      <c r="N132" s="25">
        <v>8</v>
      </c>
      <c r="O132" s="25">
        <v>9</v>
      </c>
      <c r="P132" s="25">
        <v>10</v>
      </c>
    </row>
    <row r="133" spans="5:20" ht="15.75" thickBot="1" x14ac:dyDescent="0.3">
      <c r="E133" t="s">
        <v>61</v>
      </c>
      <c r="G133" s="6">
        <f>$G128</f>
        <v>32055.055113082199</v>
      </c>
      <c r="H133" s="6">
        <f>$G128*(1+(H132-1)*$G$122)</f>
        <v>42740.073484109598</v>
      </c>
      <c r="I133" s="6">
        <f t="shared" ref="I133:P133" si="28">$G128*(1+(I132-1)*$G$122)</f>
        <v>53425.09185513699</v>
      </c>
      <c r="J133" s="6">
        <f t="shared" si="28"/>
        <v>64110.110226164397</v>
      </c>
      <c r="K133" s="6">
        <f t="shared" si="28"/>
        <v>74795.128597191782</v>
      </c>
      <c r="L133" s="6">
        <f t="shared" si="28"/>
        <v>85480.146968219196</v>
      </c>
      <c r="M133" s="6">
        <f t="shared" si="28"/>
        <v>96165.165339246596</v>
      </c>
      <c r="N133" s="6">
        <f t="shared" si="28"/>
        <v>106850.18371027398</v>
      </c>
      <c r="O133" s="6">
        <f t="shared" si="28"/>
        <v>117535.2020813014</v>
      </c>
      <c r="P133" s="6">
        <f t="shared" si="28"/>
        <v>128220.22045232879</v>
      </c>
    </row>
    <row r="134" spans="5:20" ht="15.75" thickBot="1" x14ac:dyDescent="0.3">
      <c r="E134" s="110">
        <f>SUM(G133:P133)-10000000*$Q127/NNNdec1_2018</f>
        <v>0</v>
      </c>
    </row>
    <row r="135" spans="5:20" x14ac:dyDescent="0.25">
      <c r="E135" t="s">
        <v>133</v>
      </c>
    </row>
    <row r="136" spans="5:20" ht="15.75" thickBot="1" x14ac:dyDescent="0.3">
      <c r="E136" t="s">
        <v>61</v>
      </c>
      <c r="G136" s="25">
        <v>1</v>
      </c>
      <c r="H136" s="25">
        <v>2</v>
      </c>
      <c r="I136" s="25">
        <v>3</v>
      </c>
      <c r="J136" s="25">
        <v>4</v>
      </c>
      <c r="K136" s="25">
        <v>5</v>
      </c>
      <c r="L136" s="25">
        <v>6</v>
      </c>
      <c r="M136" s="25">
        <v>7</v>
      </c>
      <c r="N136" s="25">
        <v>8</v>
      </c>
      <c r="O136" s="25">
        <v>9</v>
      </c>
      <c r="P136" s="25">
        <v>10</v>
      </c>
    </row>
    <row r="137" spans="5:20" ht="15.75" thickBot="1" x14ac:dyDescent="0.3">
      <c r="E137" s="110">
        <f>SUM(G137:P137)-10000000*$O127/NNNdec1_2018</f>
        <v>0</v>
      </c>
      <c r="G137" s="6">
        <f>$H128</f>
        <v>43684.526218817045</v>
      </c>
      <c r="H137" s="6">
        <f>$H128*(1+(H136-1)*$G$123)</f>
        <v>66335.762035981446</v>
      </c>
      <c r="I137" s="6">
        <f t="shared" ref="I137:P137" si="29">$H128*(1+(I136-1)*$G$123)</f>
        <v>88986.997853145847</v>
      </c>
      <c r="J137" s="6">
        <f t="shared" si="29"/>
        <v>111638.23367031023</v>
      </c>
      <c r="K137" s="6">
        <f t="shared" si="29"/>
        <v>134289.46948747465</v>
      </c>
      <c r="L137" s="6">
        <f t="shared" si="29"/>
        <v>156940.70530463904</v>
      </c>
      <c r="M137" s="6">
        <f t="shared" si="29"/>
        <v>179591.94112180342</v>
      </c>
      <c r="N137" s="6">
        <f t="shared" si="29"/>
        <v>202243.17693896781</v>
      </c>
      <c r="O137" s="6">
        <f t="shared" si="29"/>
        <v>224894.41275613222</v>
      </c>
      <c r="P137" s="6">
        <f t="shared" si="29"/>
        <v>247545.64857329664</v>
      </c>
    </row>
    <row r="139" spans="5:20" x14ac:dyDescent="0.25">
      <c r="E139" t="s">
        <v>138</v>
      </c>
    </row>
    <row r="140" spans="5:20" x14ac:dyDescent="0.25">
      <c r="G140" s="25">
        <v>1</v>
      </c>
      <c r="H140" s="25">
        <v>2</v>
      </c>
      <c r="I140" s="25">
        <v>3</v>
      </c>
      <c r="J140" s="25">
        <v>4</v>
      </c>
      <c r="K140" s="25">
        <v>5</v>
      </c>
      <c r="L140" s="25">
        <v>6</v>
      </c>
      <c r="M140" s="25">
        <v>7</v>
      </c>
      <c r="N140" s="25">
        <v>8</v>
      </c>
      <c r="O140" s="25">
        <v>9</v>
      </c>
      <c r="P140" s="25">
        <v>10</v>
      </c>
    </row>
    <row r="141" spans="5:20" x14ac:dyDescent="0.25">
      <c r="G141">
        <f>$I128</f>
        <v>50259.736487921356</v>
      </c>
      <c r="H141">
        <f>G141*$L128</f>
        <v>66957.634263853775</v>
      </c>
      <c r="I141">
        <f t="shared" ref="I141" si="30">H141*$L128</f>
        <v>89203.109675862652</v>
      </c>
      <c r="J141">
        <f t="shared" ref="J141" si="31">I141*$L128</f>
        <v>118839.24608936746</v>
      </c>
      <c r="K141">
        <f t="shared" ref="K141" si="32">J141*$L128</f>
        <v>158321.45832591641</v>
      </c>
      <c r="L141">
        <f t="shared" ref="L141" si="33">K141*$L128</f>
        <v>210920.9288284732</v>
      </c>
      <c r="M141">
        <f t="shared" ref="M141" si="34">L141*$L128</f>
        <v>280995.63185102027</v>
      </c>
      <c r="N141">
        <f t="shared" ref="N141" si="35">M141*$L128</f>
        <v>374351.40058370127</v>
      </c>
      <c r="O141">
        <f t="shared" ref="O141" si="36">N141*$L128</f>
        <v>498722.95236702607</v>
      </c>
      <c r="P141">
        <f t="shared" ref="P141" si="37">O141*$L128</f>
        <v>664414.72592292493</v>
      </c>
    </row>
    <row r="143" spans="5:20" ht="15.75" thickBot="1" x14ac:dyDescent="0.3">
      <c r="E143" t="s">
        <v>120</v>
      </c>
      <c r="G143" s="25">
        <v>1</v>
      </c>
      <c r="H143" s="25">
        <v>2</v>
      </c>
      <c r="I143" s="25">
        <v>3</v>
      </c>
      <c r="J143" s="25">
        <v>4</v>
      </c>
      <c r="K143" s="25">
        <v>5</v>
      </c>
      <c r="L143" s="25">
        <v>6</v>
      </c>
      <c r="M143" s="25">
        <v>7</v>
      </c>
      <c r="N143" s="25">
        <v>8</v>
      </c>
      <c r="O143" s="25">
        <v>9</v>
      </c>
      <c r="P143" s="25">
        <v>10</v>
      </c>
    </row>
    <row r="144" spans="5:20" ht="19.5" thickBot="1" x14ac:dyDescent="0.35">
      <c r="E144" s="110">
        <f>SUM(G144:P144)*ndec1_2018-1000000*O129</f>
        <v>0</v>
      </c>
      <c r="G144" s="93">
        <f>G133+G137+G141</f>
        <v>125999.3178198206</v>
      </c>
      <c r="H144" s="94">
        <f t="shared" ref="H144:P144" si="38">H133+H137+H141</f>
        <v>176033.46978394483</v>
      </c>
      <c r="I144" s="94">
        <f t="shared" si="38"/>
        <v>231615.1993841455</v>
      </c>
      <c r="J144" s="94">
        <f t="shared" si="38"/>
        <v>294587.58998584212</v>
      </c>
      <c r="K144" s="94">
        <f t="shared" si="38"/>
        <v>367406.05641058285</v>
      </c>
      <c r="L144" s="94">
        <f t="shared" si="38"/>
        <v>453341.78110133146</v>
      </c>
      <c r="M144" s="94">
        <f t="shared" si="38"/>
        <v>556752.73831207026</v>
      </c>
      <c r="N144" s="94">
        <f t="shared" si="38"/>
        <v>683444.76123294304</v>
      </c>
      <c r="O144" s="94">
        <f t="shared" si="38"/>
        <v>841152.56720445969</v>
      </c>
      <c r="P144" s="95">
        <f t="shared" si="38"/>
        <v>1040180.5949485503</v>
      </c>
      <c r="Q144" t="s">
        <v>157</v>
      </c>
      <c r="T144" s="55" t="s">
        <v>139</v>
      </c>
    </row>
    <row r="146" spans="2:24" s="107" customFormat="1" ht="6" customHeight="1" x14ac:dyDescent="0.25">
      <c r="X146" s="98"/>
    </row>
    <row r="147" spans="2:24" ht="18.75" x14ac:dyDescent="0.3">
      <c r="G147" s="31"/>
    </row>
    <row r="148" spans="2:24" x14ac:dyDescent="0.25">
      <c r="D148" s="23"/>
    </row>
    <row r="149" spans="2:24" ht="15.75" thickBot="1" x14ac:dyDescent="0.3"/>
    <row r="150" spans="2:24" ht="21.75" thickBot="1" x14ac:dyDescent="0.4">
      <c r="B150">
        <v>4</v>
      </c>
      <c r="C150" s="44">
        <v>2019</v>
      </c>
      <c r="E150" s="57" t="s">
        <v>55</v>
      </c>
      <c r="K150" t="s">
        <v>78</v>
      </c>
      <c r="M150" s="136">
        <f>INDEX('Прожит минимум'!$B$5:$P$5,1,B150)</f>
        <v>163737.69840000002</v>
      </c>
    </row>
    <row r="152" spans="2:24" x14ac:dyDescent="0.25">
      <c r="G152" t="s">
        <v>66</v>
      </c>
      <c r="K152" s="8"/>
    </row>
    <row r="153" spans="2:24" ht="18.75" x14ac:dyDescent="0.3">
      <c r="E153" t="s">
        <v>189</v>
      </c>
      <c r="G153" s="31">
        <f>E167+E170+E177</f>
        <v>0</v>
      </c>
    </row>
    <row r="154" spans="2:24" ht="21.75" thickBot="1" x14ac:dyDescent="0.4">
      <c r="B154" s="82">
        <v>11.8</v>
      </c>
      <c r="E154" t="s">
        <v>65</v>
      </c>
      <c r="G154" s="30">
        <f>P177/G177</f>
        <v>9.3665473870013916</v>
      </c>
      <c r="J154" s="111" t="s">
        <v>155</v>
      </c>
      <c r="K154" t="s">
        <v>116</v>
      </c>
      <c r="O154" s="21" t="s">
        <v>144</v>
      </c>
    </row>
    <row r="155" spans="2:24" ht="15.75" thickBot="1" x14ac:dyDescent="0.3">
      <c r="E155" t="s">
        <v>57</v>
      </c>
      <c r="G155" s="29">
        <f>I155</f>
        <v>0.33333333333333326</v>
      </c>
      <c r="I155" s="36">
        <f>((1000000*INDEX(input2019,3)/(G161*ndec1_2019)-10)/45)</f>
        <v>0.33333333333333326</v>
      </c>
      <c r="J155" s="112" t="s">
        <v>153</v>
      </c>
      <c r="K155" s="99">
        <f>INDEX(input2019,3)*1000000/(10*ndec1_2019)</f>
        <v>94001.858679253812</v>
      </c>
      <c r="L155" t="s">
        <v>63</v>
      </c>
      <c r="O155" s="77">
        <f>NNNdec1_2019/10</f>
        <v>102640.1</v>
      </c>
    </row>
    <row r="156" spans="2:24" ht="15.75" thickBot="1" x14ac:dyDescent="0.3">
      <c r="E156" t="s">
        <v>62</v>
      </c>
      <c r="G156" s="29">
        <f>I156</f>
        <v>0.51851851851851838</v>
      </c>
      <c r="I156" s="36">
        <f>(1000000*INDEX(input2019,1)/(H161*ndec1_2019)-10)/45</f>
        <v>0.51851851851851838</v>
      </c>
      <c r="J156" s="112" t="s">
        <v>154</v>
      </c>
      <c r="K156" s="100">
        <f>INDEX(input2019,1)*1000000/(10*ndec1_2019)</f>
        <v>163795.07834864632</v>
      </c>
      <c r="L156" t="s">
        <v>64</v>
      </c>
    </row>
    <row r="157" spans="2:24" ht="15.75" thickBot="1" x14ac:dyDescent="0.3">
      <c r="E157" t="s">
        <v>60</v>
      </c>
      <c r="G157" s="29">
        <f>$L161</f>
        <v>1.3774554333045044</v>
      </c>
      <c r="I157">
        <f>QU</f>
        <v>1.3651408101991704</v>
      </c>
      <c r="J157" s="112" t="s">
        <v>150</v>
      </c>
      <c r="K157" s="101">
        <f>(INDEX(input2019,2)+INDEX(input2019,4))*1000000/(10*ndec1_2019)</f>
        <v>282521.88204427803</v>
      </c>
      <c r="L157" t="s">
        <v>117</v>
      </c>
    </row>
    <row r="158" spans="2:24" x14ac:dyDescent="0.25">
      <c r="G158" s="25"/>
      <c r="H158" s="25"/>
      <c r="I158" s="25"/>
      <c r="J158" s="25"/>
      <c r="K158" s="102"/>
      <c r="L158" s="25"/>
      <c r="M158" s="25"/>
      <c r="N158" s="25"/>
      <c r="O158" s="25"/>
      <c r="P158" s="25"/>
    </row>
    <row r="159" spans="2:24" ht="45.75" thickBot="1" x14ac:dyDescent="0.3">
      <c r="G159" s="126"/>
      <c r="H159" s="126"/>
      <c r="I159" s="126"/>
      <c r="J159" s="126"/>
      <c r="K159" s="126"/>
      <c r="L159" s="126"/>
      <c r="M159" s="126"/>
      <c r="N159" s="126"/>
      <c r="O159" s="97" t="s">
        <v>53</v>
      </c>
      <c r="P159" s="97" t="s">
        <v>54</v>
      </c>
      <c r="Q159" s="96" t="s">
        <v>14</v>
      </c>
      <c r="R159" s="96" t="s">
        <v>51</v>
      </c>
    </row>
    <row r="160" spans="2:24" ht="15.75" thickBot="1" x14ac:dyDescent="0.3">
      <c r="N160" t="s">
        <v>148</v>
      </c>
      <c r="O160" s="41">
        <f>INDEX(input2019,1)</f>
        <v>168119.43221212894</v>
      </c>
      <c r="P160" s="41">
        <f>INDEX(input2019,2)</f>
        <v>168119.43221212894</v>
      </c>
      <c r="Q160" s="41">
        <f>INDEX(input2019,3)</f>
        <v>96483.601750244794</v>
      </c>
      <c r="R160" s="41">
        <f>INDEX(input2019,4)</f>
        <v>121861.31004000004</v>
      </c>
    </row>
    <row r="161" spans="5:16" ht="15.75" thickBot="1" x14ac:dyDescent="0.3">
      <c r="E161" t="s">
        <v>118</v>
      </c>
      <c r="G161" s="103">
        <f>K155*G162</f>
        <v>37600.743471701528</v>
      </c>
      <c r="H161" s="103">
        <f>K156*H162</f>
        <v>49138.523504593897</v>
      </c>
      <c r="I161" s="104">
        <f>K157*I162</f>
        <v>45203.501127084484</v>
      </c>
      <c r="K161" t="s">
        <v>60</v>
      </c>
      <c r="L161" s="46">
        <v>1.3774554333045044</v>
      </c>
      <c r="N161" t="s">
        <v>121</v>
      </c>
      <c r="O161" s="76">
        <f>вход!E23*1000</f>
        <v>1026401.0000000001</v>
      </c>
    </row>
    <row r="162" spans="5:16" ht="15.75" thickBot="1" x14ac:dyDescent="0.3">
      <c r="E162" t="s">
        <v>119</v>
      </c>
      <c r="G162" s="24">
        <v>0.4</v>
      </c>
      <c r="H162" s="24">
        <v>0.3</v>
      </c>
      <c r="I162" s="24">
        <v>0.16</v>
      </c>
      <c r="N162" t="s">
        <v>69</v>
      </c>
      <c r="O162" s="106">
        <f>dohod2019</f>
        <v>554583.77621450275</v>
      </c>
    </row>
    <row r="163" spans="5:16" x14ac:dyDescent="0.25">
      <c r="G163" s="72"/>
      <c r="H163" s="72"/>
      <c r="I163" s="72"/>
      <c r="O163" s="73"/>
    </row>
    <row r="164" spans="5:16" x14ac:dyDescent="0.25">
      <c r="E164" s="75" t="s">
        <v>58</v>
      </c>
    </row>
    <row r="165" spans="5:16" x14ac:dyDescent="0.25">
      <c r="G165" s="25">
        <v>1</v>
      </c>
      <c r="H165" s="25">
        <v>2</v>
      </c>
      <c r="I165" s="25">
        <v>3</v>
      </c>
      <c r="J165" s="25">
        <v>4</v>
      </c>
      <c r="K165" s="25">
        <v>5</v>
      </c>
      <c r="L165" s="25">
        <v>6</v>
      </c>
      <c r="M165" s="25">
        <v>7</v>
      </c>
      <c r="N165" s="25">
        <v>8</v>
      </c>
      <c r="O165" s="25">
        <v>9</v>
      </c>
      <c r="P165" s="25">
        <v>10</v>
      </c>
    </row>
    <row r="166" spans="5:16" ht="15.75" thickBot="1" x14ac:dyDescent="0.3">
      <c r="E166" t="s">
        <v>61</v>
      </c>
      <c r="G166" s="6">
        <f>$G161</f>
        <v>37600.743471701528</v>
      </c>
      <c r="H166" s="6">
        <f>$G161*(1+(H165-1)*$G$155)</f>
        <v>50134.32462893537</v>
      </c>
      <c r="I166" s="6">
        <f t="shared" ref="I166:P166" si="39">$G161*(1+(I165-1)*$G$155)</f>
        <v>62667.905786169205</v>
      </c>
      <c r="J166" s="6">
        <f t="shared" si="39"/>
        <v>75201.486943403041</v>
      </c>
      <c r="K166" s="6">
        <f t="shared" si="39"/>
        <v>87735.068100636883</v>
      </c>
      <c r="L166" s="6">
        <f t="shared" si="39"/>
        <v>100268.64925787071</v>
      </c>
      <c r="M166" s="6">
        <f t="shared" si="39"/>
        <v>112802.23041510457</v>
      </c>
      <c r="N166" s="6">
        <f t="shared" si="39"/>
        <v>125335.81157233841</v>
      </c>
      <c r="O166" s="6">
        <f t="shared" si="39"/>
        <v>137869.39272957225</v>
      </c>
      <c r="P166" s="6">
        <f t="shared" si="39"/>
        <v>150402.97388680608</v>
      </c>
    </row>
    <row r="167" spans="5:16" ht="15.75" thickBot="1" x14ac:dyDescent="0.3">
      <c r="E167" s="110">
        <f>SUM(G166:P166)-10000000*$Q160/NNNdec1_2019</f>
        <v>0</v>
      </c>
    </row>
    <row r="168" spans="5:16" x14ac:dyDescent="0.25">
      <c r="E168" t="s">
        <v>133</v>
      </c>
    </row>
    <row r="169" spans="5:16" ht="15.75" thickBot="1" x14ac:dyDescent="0.3">
      <c r="E169" t="s">
        <v>61</v>
      </c>
      <c r="G169" s="25">
        <v>1</v>
      </c>
      <c r="H169" s="25">
        <v>2</v>
      </c>
      <c r="I169" s="25">
        <v>3</v>
      </c>
      <c r="J169" s="25">
        <v>4</v>
      </c>
      <c r="K169" s="25">
        <v>5</v>
      </c>
      <c r="L169" s="25">
        <v>6</v>
      </c>
      <c r="M169" s="25">
        <v>7</v>
      </c>
      <c r="N169" s="25">
        <v>8</v>
      </c>
      <c r="O169" s="25">
        <v>9</v>
      </c>
      <c r="P169" s="25">
        <v>10</v>
      </c>
    </row>
    <row r="170" spans="5:16" ht="15.75" thickBot="1" x14ac:dyDescent="0.3">
      <c r="E170" s="110">
        <f>SUM(G170:P170)-10000000*$O160/NNNdec1_2019</f>
        <v>0</v>
      </c>
      <c r="G170" s="6">
        <f>$H161</f>
        <v>49138.523504593897</v>
      </c>
      <c r="H170" s="6">
        <f>$H161*(1+(H169-1)*$G$156)</f>
        <v>74617.757914383314</v>
      </c>
      <c r="I170" s="6">
        <f t="shared" ref="I170:P170" si="40">$H161*(1+(I169-1)*$G$156)</f>
        <v>100096.99232417274</v>
      </c>
      <c r="J170" s="6">
        <f t="shared" si="40"/>
        <v>125576.22673396218</v>
      </c>
      <c r="K170" s="6">
        <f t="shared" si="40"/>
        <v>151055.46114375157</v>
      </c>
      <c r="L170" s="6">
        <f t="shared" si="40"/>
        <v>176534.69555354098</v>
      </c>
      <c r="M170" s="6">
        <f t="shared" si="40"/>
        <v>202013.92996333045</v>
      </c>
      <c r="N170" s="6">
        <f t="shared" si="40"/>
        <v>227493.16437311986</v>
      </c>
      <c r="O170" s="6">
        <f t="shared" si="40"/>
        <v>252972.39878290927</v>
      </c>
      <c r="P170" s="6">
        <f t="shared" si="40"/>
        <v>278451.6331926987</v>
      </c>
    </row>
    <row r="172" spans="5:16" x14ac:dyDescent="0.25">
      <c r="E172" t="s">
        <v>138</v>
      </c>
    </row>
    <row r="173" spans="5:16" x14ac:dyDescent="0.25">
      <c r="G173" s="25">
        <v>1</v>
      </c>
      <c r="H173" s="25">
        <v>2</v>
      </c>
      <c r="I173" s="25">
        <v>3</v>
      </c>
      <c r="J173" s="25">
        <v>4</v>
      </c>
      <c r="K173" s="25">
        <v>5</v>
      </c>
      <c r="L173" s="25">
        <v>6</v>
      </c>
      <c r="M173" s="25">
        <v>7</v>
      </c>
      <c r="N173" s="25">
        <v>8</v>
      </c>
      <c r="O173" s="25">
        <v>9</v>
      </c>
      <c r="P173" s="25">
        <v>10</v>
      </c>
    </row>
    <row r="174" spans="5:16" x14ac:dyDescent="0.25">
      <c r="G174">
        <f>$I161</f>
        <v>45203.501127084484</v>
      </c>
      <c r="H174">
        <f>G174*$L161</f>
        <v>62265.808231888812</v>
      </c>
      <c r="I174">
        <f t="shared" ref="I174:P174" si="41">H174*$L161</f>
        <v>85768.375858111584</v>
      </c>
      <c r="J174">
        <f t="shared" si="41"/>
        <v>118142.11533145868</v>
      </c>
      <c r="K174">
        <f t="shared" si="41"/>
        <v>162735.49866540515</v>
      </c>
      <c r="L174">
        <f t="shared" si="41"/>
        <v>224160.89682818024</v>
      </c>
      <c r="M174">
        <f t="shared" si="41"/>
        <v>308771.64527038729</v>
      </c>
      <c r="N174">
        <f t="shared" si="41"/>
        <v>425319.18042806606</v>
      </c>
      <c r="O174">
        <f t="shared" si="41"/>
        <v>585858.21596925845</v>
      </c>
      <c r="P174">
        <f t="shared" si="41"/>
        <v>806993.58273293881</v>
      </c>
    </row>
    <row r="176" spans="5:16" ht="15.75" thickBot="1" x14ac:dyDescent="0.3">
      <c r="E176" t="s">
        <v>120</v>
      </c>
      <c r="G176" s="25">
        <v>1</v>
      </c>
      <c r="H176" s="25">
        <v>2</v>
      </c>
      <c r="I176" s="25">
        <v>3</v>
      </c>
      <c r="J176" s="25">
        <v>4</v>
      </c>
      <c r="K176" s="25">
        <v>5</v>
      </c>
      <c r="L176" s="25">
        <v>6</v>
      </c>
      <c r="M176" s="25">
        <v>7</v>
      </c>
      <c r="N176" s="25">
        <v>8</v>
      </c>
      <c r="O176" s="25">
        <v>9</v>
      </c>
      <c r="P176" s="25">
        <v>10</v>
      </c>
    </row>
    <row r="177" spans="2:24" ht="19.5" thickBot="1" x14ac:dyDescent="0.35">
      <c r="E177" s="110">
        <f>SUM(G177:P177)*ndec1_2019-1000000*O162</f>
        <v>0</v>
      </c>
      <c r="G177" s="93">
        <f>G166+G170+G174</f>
        <v>131942.7681033799</v>
      </c>
      <c r="H177" s="94">
        <f t="shared" ref="H177:P177" si="42">H166+H170+H174</f>
        <v>187017.89077520749</v>
      </c>
      <c r="I177" s="94">
        <f t="shared" si="42"/>
        <v>248533.27396845352</v>
      </c>
      <c r="J177" s="94">
        <f t="shared" si="42"/>
        <v>318919.8290088239</v>
      </c>
      <c r="K177" s="94">
        <f t="shared" si="42"/>
        <v>401526.0279097936</v>
      </c>
      <c r="L177" s="94">
        <f t="shared" si="42"/>
        <v>500964.24163959193</v>
      </c>
      <c r="M177" s="94">
        <f t="shared" si="42"/>
        <v>623587.80564882234</v>
      </c>
      <c r="N177" s="94">
        <f t="shared" si="42"/>
        <v>778148.15637352434</v>
      </c>
      <c r="O177" s="94">
        <f t="shared" si="42"/>
        <v>976700.00748173997</v>
      </c>
      <c r="P177" s="95">
        <f t="shared" si="42"/>
        <v>1235848.1898124437</v>
      </c>
      <c r="Q177" t="s">
        <v>158</v>
      </c>
      <c r="T177" s="55" t="s">
        <v>173</v>
      </c>
    </row>
    <row r="180" spans="2:24" s="107" customFormat="1" ht="6" customHeight="1" x14ac:dyDescent="0.25">
      <c r="X180" s="98"/>
    </row>
    <row r="181" spans="2:24" ht="15.75" thickBot="1" x14ac:dyDescent="0.3"/>
    <row r="182" spans="2:24" ht="21.75" thickBot="1" x14ac:dyDescent="0.4">
      <c r="B182">
        <v>5</v>
      </c>
      <c r="C182" s="44">
        <v>2020</v>
      </c>
      <c r="E182" s="57" t="s">
        <v>55</v>
      </c>
      <c r="K182" t="s">
        <v>78</v>
      </c>
      <c r="M182" s="136">
        <f>INDEX('Прожит минимум'!$B$5:$P$5,1,B182)</f>
        <v>178474.09125600004</v>
      </c>
    </row>
    <row r="184" spans="2:24" x14ac:dyDescent="0.25">
      <c r="G184" t="s">
        <v>66</v>
      </c>
      <c r="K184" s="8"/>
    </row>
    <row r="185" spans="2:24" ht="18.75" x14ac:dyDescent="0.3">
      <c r="E185" t="s">
        <v>190</v>
      </c>
      <c r="G185" s="31">
        <f>E199+E202+E209</f>
        <v>0</v>
      </c>
    </row>
    <row r="186" spans="2:24" ht="21.75" thickBot="1" x14ac:dyDescent="0.4">
      <c r="B186" s="82">
        <v>11.8</v>
      </c>
      <c r="E186" t="s">
        <v>65</v>
      </c>
      <c r="G186" s="30">
        <f>P209/G209</f>
        <v>9.4205852753756307</v>
      </c>
      <c r="J186" s="111" t="s">
        <v>155</v>
      </c>
      <c r="K186" t="s">
        <v>116</v>
      </c>
      <c r="O186" s="21" t="s">
        <v>144</v>
      </c>
    </row>
    <row r="187" spans="2:24" ht="15.75" thickBot="1" x14ac:dyDescent="0.3">
      <c r="E187" t="s">
        <v>57</v>
      </c>
      <c r="G187" s="29">
        <f>I187</f>
        <v>0.33333333333333326</v>
      </c>
      <c r="I187" s="36">
        <f>((1000000*INDEX(input2020,3)/(G193*ndec1_2020)-10)/45)</f>
        <v>0.33333333333333326</v>
      </c>
      <c r="J187" s="112" t="s">
        <v>153</v>
      </c>
      <c r="K187" s="99">
        <f>INDEX(input2020,3)*1000000/(10*ndec1_2020)</f>
        <v>100124.16011907384</v>
      </c>
      <c r="L187" t="s">
        <v>63</v>
      </c>
      <c r="O187" s="77">
        <f>NNNdec1_2020/10</f>
        <v>101388.5</v>
      </c>
    </row>
    <row r="188" spans="2:24" ht="15.75" thickBot="1" x14ac:dyDescent="0.3">
      <c r="E188" t="s">
        <v>62</v>
      </c>
      <c r="G188" s="29">
        <f>I188</f>
        <v>0.5185185185185186</v>
      </c>
      <c r="I188" s="36">
        <f>(1000000*INDEX(input2020,1)/(H193*ndec1_2020)-10)/45</f>
        <v>0.5185185185185186</v>
      </c>
      <c r="J188" s="112" t="s">
        <v>154</v>
      </c>
      <c r="K188" s="100">
        <f>INDEX(input2020,1)*1000000/(10*ndec1_2020)</f>
        <v>180991.81075863825</v>
      </c>
      <c r="L188" t="s">
        <v>64</v>
      </c>
    </row>
    <row r="189" spans="2:24" ht="15.75" thickBot="1" x14ac:dyDescent="0.3">
      <c r="E189" t="s">
        <v>60</v>
      </c>
      <c r="G189" s="29">
        <f>$L193</f>
        <v>1.3774554333045044</v>
      </c>
      <c r="I189">
        <f>QU</f>
        <v>1.3651408101991704</v>
      </c>
      <c r="J189" s="112" t="s">
        <v>150</v>
      </c>
      <c r="K189" s="101">
        <f>(INDEX(input2020,2)+INDEX(input2020,4))*1000000/(10*ndec1_2020)</f>
        <v>312001.56821988884</v>
      </c>
      <c r="L189" t="s">
        <v>117</v>
      </c>
    </row>
    <row r="190" spans="2:24" x14ac:dyDescent="0.25">
      <c r="G190" s="25"/>
      <c r="H190" s="25"/>
      <c r="I190" s="25"/>
      <c r="J190" s="25"/>
      <c r="K190" s="102"/>
      <c r="L190" s="25"/>
      <c r="M190" s="25"/>
      <c r="N190" s="25"/>
      <c r="O190" s="25"/>
      <c r="P190" s="25"/>
    </row>
    <row r="191" spans="2:24" ht="45.75" thickBot="1" x14ac:dyDescent="0.3">
      <c r="G191" s="126"/>
      <c r="H191" s="126"/>
      <c r="I191" s="126"/>
      <c r="J191" s="126"/>
      <c r="K191" s="126"/>
      <c r="L191" s="126"/>
      <c r="M191" s="126"/>
      <c r="N191" s="126"/>
      <c r="O191" s="97" t="s">
        <v>53</v>
      </c>
      <c r="P191" s="97" t="s">
        <v>54</v>
      </c>
      <c r="Q191" s="96" t="s">
        <v>14</v>
      </c>
      <c r="R191" s="96" t="s">
        <v>51</v>
      </c>
    </row>
    <row r="192" spans="2:24" ht="15.75" thickBot="1" x14ac:dyDescent="0.3">
      <c r="N192" t="s">
        <v>148</v>
      </c>
      <c r="O192" s="41">
        <f>INDEX(input2020,1)</f>
        <v>183504.88205102194</v>
      </c>
      <c r="P192" s="41">
        <f>INDEX(input2020,2)</f>
        <v>183504.88205102194</v>
      </c>
      <c r="Q192" s="41">
        <f>INDEX(input2020,3)</f>
        <v>101514.38408232717</v>
      </c>
      <c r="R192" s="41">
        <f>INDEX(input2020,4)</f>
        <v>132828.82794360004</v>
      </c>
    </row>
    <row r="193" spans="5:16" ht="15.75" thickBot="1" x14ac:dyDescent="0.3">
      <c r="E193" t="s">
        <v>118</v>
      </c>
      <c r="G193" s="103">
        <f>K187*G194</f>
        <v>40049.664047629543</v>
      </c>
      <c r="H193" s="103">
        <f>K188*H194</f>
        <v>54297.543227591472</v>
      </c>
      <c r="I193" s="104">
        <f>K189*I194</f>
        <v>49920.250915182216</v>
      </c>
      <c r="K193" t="s">
        <v>60</v>
      </c>
      <c r="L193" s="46">
        <v>1.3774554333045044</v>
      </c>
      <c r="N193" t="s">
        <v>121</v>
      </c>
      <c r="O193" s="76">
        <f>вход!F23*1000</f>
        <v>1013885</v>
      </c>
    </row>
    <row r="194" spans="5:16" ht="15.75" thickBot="1" x14ac:dyDescent="0.3">
      <c r="E194" t="s">
        <v>119</v>
      </c>
      <c r="G194" s="24">
        <v>0.4</v>
      </c>
      <c r="H194" s="24">
        <v>0.3</v>
      </c>
      <c r="I194" s="24">
        <v>0.16</v>
      </c>
      <c r="N194" t="s">
        <v>69</v>
      </c>
      <c r="O194" s="106">
        <f>dohod2020</f>
        <v>601352.97612797108</v>
      </c>
    </row>
    <row r="195" spans="5:16" x14ac:dyDescent="0.25">
      <c r="G195" s="72"/>
      <c r="H195" s="72"/>
      <c r="I195" s="72"/>
      <c r="O195" s="73"/>
    </row>
    <row r="196" spans="5:16" x14ac:dyDescent="0.25">
      <c r="E196" s="75" t="s">
        <v>58</v>
      </c>
    </row>
    <row r="197" spans="5:16" x14ac:dyDescent="0.25">
      <c r="G197" s="25">
        <v>1</v>
      </c>
      <c r="H197" s="25">
        <v>2</v>
      </c>
      <c r="I197" s="25">
        <v>3</v>
      </c>
      <c r="J197" s="25">
        <v>4</v>
      </c>
      <c r="K197" s="25">
        <v>5</v>
      </c>
      <c r="L197" s="25">
        <v>6</v>
      </c>
      <c r="M197" s="25">
        <v>7</v>
      </c>
      <c r="N197" s="25">
        <v>8</v>
      </c>
      <c r="O197" s="25">
        <v>9</v>
      </c>
      <c r="P197" s="25">
        <v>10</v>
      </c>
    </row>
    <row r="198" spans="5:16" ht="15.75" thickBot="1" x14ac:dyDescent="0.3">
      <c r="E198" t="s">
        <v>61</v>
      </c>
      <c r="G198" s="6">
        <f>$G193</f>
        <v>40049.664047629543</v>
      </c>
      <c r="H198" s="6">
        <f>$G193*(1+(H197-1)*$G$187)</f>
        <v>53399.552063506053</v>
      </c>
      <c r="I198" s="6">
        <f t="shared" ref="I198:P198" si="43">$G193*(1+(I197-1)*$G$187)</f>
        <v>66749.440079382563</v>
      </c>
      <c r="J198" s="6">
        <f t="shared" si="43"/>
        <v>80099.328095259072</v>
      </c>
      <c r="K198" s="6">
        <f t="shared" si="43"/>
        <v>93449.216111135596</v>
      </c>
      <c r="L198" s="6">
        <f t="shared" si="43"/>
        <v>106799.10412701209</v>
      </c>
      <c r="M198" s="6">
        <f t="shared" si="43"/>
        <v>120148.99214288862</v>
      </c>
      <c r="N198" s="6">
        <f t="shared" si="43"/>
        <v>133498.88015876513</v>
      </c>
      <c r="O198" s="6">
        <f t="shared" si="43"/>
        <v>146848.76817464165</v>
      </c>
      <c r="P198" s="6">
        <f t="shared" si="43"/>
        <v>160198.65619051814</v>
      </c>
    </row>
    <row r="199" spans="5:16" ht="15.75" thickBot="1" x14ac:dyDescent="0.3">
      <c r="E199" s="110">
        <f>SUM(G198:P198)-10000000*$Q192/NNNdec1_2020</f>
        <v>0</v>
      </c>
    </row>
    <row r="200" spans="5:16" x14ac:dyDescent="0.25">
      <c r="E200" t="s">
        <v>133</v>
      </c>
    </row>
    <row r="201" spans="5:16" ht="15.75" thickBot="1" x14ac:dyDescent="0.3">
      <c r="E201" t="s">
        <v>61</v>
      </c>
      <c r="G201" s="25">
        <v>1</v>
      </c>
      <c r="H201" s="25">
        <v>2</v>
      </c>
      <c r="I201" s="25">
        <v>3</v>
      </c>
      <c r="J201" s="25">
        <v>4</v>
      </c>
      <c r="K201" s="25">
        <v>5</v>
      </c>
      <c r="L201" s="25">
        <v>6</v>
      </c>
      <c r="M201" s="25">
        <v>7</v>
      </c>
      <c r="N201" s="25">
        <v>8</v>
      </c>
      <c r="O201" s="25">
        <v>9</v>
      </c>
      <c r="P201" s="25">
        <v>10</v>
      </c>
    </row>
    <row r="202" spans="5:16" ht="15.75" thickBot="1" x14ac:dyDescent="0.3">
      <c r="E202" s="110">
        <f>SUM(G202:P202)-10000000*$O192/NNNdec1_2020</f>
        <v>0</v>
      </c>
      <c r="G202" s="6">
        <f>$H193</f>
        <v>54297.543227591472</v>
      </c>
      <c r="H202" s="6">
        <f>$H193*(1+(H201-1)*$G$188)</f>
        <v>82451.824901157423</v>
      </c>
      <c r="I202" s="6">
        <f t="shared" ref="I202:P202" si="44">$H193*(1+(I201-1)*$G$188)</f>
        <v>110606.10657472338</v>
      </c>
      <c r="J202" s="6">
        <f t="shared" si="44"/>
        <v>138760.38824828932</v>
      </c>
      <c r="K202" s="6">
        <f t="shared" si="44"/>
        <v>166914.6699218553</v>
      </c>
      <c r="L202" s="6">
        <f t="shared" si="44"/>
        <v>195068.95159542124</v>
      </c>
      <c r="M202" s="6">
        <f t="shared" si="44"/>
        <v>223223.23326898718</v>
      </c>
      <c r="N202" s="6">
        <f t="shared" si="44"/>
        <v>251377.51494255313</v>
      </c>
      <c r="O202" s="6">
        <f t="shared" si="44"/>
        <v>279531.7966161191</v>
      </c>
      <c r="P202" s="6">
        <f t="shared" si="44"/>
        <v>307686.07828968507</v>
      </c>
    </row>
    <row r="204" spans="5:16" x14ac:dyDescent="0.25">
      <c r="E204" t="s">
        <v>138</v>
      </c>
    </row>
    <row r="205" spans="5:16" x14ac:dyDescent="0.25">
      <c r="G205" s="25">
        <v>1</v>
      </c>
      <c r="H205" s="25">
        <v>2</v>
      </c>
      <c r="I205" s="25">
        <v>3</v>
      </c>
      <c r="J205" s="25">
        <v>4</v>
      </c>
      <c r="K205" s="25">
        <v>5</v>
      </c>
      <c r="L205" s="25">
        <v>6</v>
      </c>
      <c r="M205" s="25">
        <v>7</v>
      </c>
      <c r="N205" s="25">
        <v>8</v>
      </c>
      <c r="O205" s="25">
        <v>9</v>
      </c>
      <c r="P205" s="25">
        <v>10</v>
      </c>
    </row>
    <row r="206" spans="5:16" x14ac:dyDescent="0.25">
      <c r="G206">
        <f>$I193</f>
        <v>49920.250915182216</v>
      </c>
      <c r="H206">
        <f>G206*$L193</f>
        <v>68762.920855041899</v>
      </c>
      <c r="I206">
        <f t="shared" ref="I206:P206" si="45">H206*$L193</f>
        <v>94717.858941665079</v>
      </c>
      <c r="J206">
        <f t="shared" si="45"/>
        <v>130469.6294301662</v>
      </c>
      <c r="K206">
        <f t="shared" si="45"/>
        <v>179716.0999398077</v>
      </c>
      <c r="L206">
        <f t="shared" si="45"/>
        <v>247550.91831438342</v>
      </c>
      <c r="M206">
        <f t="shared" si="45"/>
        <v>340990.35745166696</v>
      </c>
      <c r="N206">
        <f t="shared" si="45"/>
        <v>469699.02057624375</v>
      </c>
      <c r="O206">
        <f t="shared" si="45"/>
        <v>646989.46791055112</v>
      </c>
      <c r="P206">
        <f t="shared" si="45"/>
        <v>891199.15786417888</v>
      </c>
    </row>
    <row r="208" spans="5:16" ht="15.75" thickBot="1" x14ac:dyDescent="0.3">
      <c r="E208" t="s">
        <v>120</v>
      </c>
      <c r="G208" s="25">
        <v>1</v>
      </c>
      <c r="H208" s="25">
        <v>2</v>
      </c>
      <c r="I208" s="25">
        <v>3</v>
      </c>
      <c r="J208" s="25">
        <v>4</v>
      </c>
      <c r="K208" s="25">
        <v>5</v>
      </c>
      <c r="L208" s="25">
        <v>6</v>
      </c>
      <c r="M208" s="25">
        <v>7</v>
      </c>
      <c r="N208" s="25">
        <v>8</v>
      </c>
      <c r="O208" s="25">
        <v>9</v>
      </c>
      <c r="P208" s="25">
        <v>10</v>
      </c>
    </row>
    <row r="209" spans="2:24" ht="19.5" thickBot="1" x14ac:dyDescent="0.35">
      <c r="E209" s="110">
        <f>SUM(G209:P209)*ndec1_2020-1000000*O194</f>
        <v>0</v>
      </c>
      <c r="G209" s="93">
        <f>G198+G202+G206</f>
        <v>144267.45819040324</v>
      </c>
      <c r="H209" s="94">
        <f t="shared" ref="H209:P209" si="46">H198+H202+H206</f>
        <v>204614.29781970539</v>
      </c>
      <c r="I209" s="94">
        <f t="shared" si="46"/>
        <v>272073.40559577104</v>
      </c>
      <c r="J209" s="94">
        <f t="shared" si="46"/>
        <v>349329.34577371459</v>
      </c>
      <c r="K209" s="94">
        <f t="shared" si="46"/>
        <v>440079.98597279855</v>
      </c>
      <c r="L209" s="94">
        <f t="shared" si="46"/>
        <v>549418.97403681674</v>
      </c>
      <c r="M209" s="94">
        <f t="shared" si="46"/>
        <v>684362.58286354272</v>
      </c>
      <c r="N209" s="94">
        <f t="shared" si="46"/>
        <v>854575.41567756201</v>
      </c>
      <c r="O209" s="94">
        <f t="shared" si="46"/>
        <v>1073370.0327013119</v>
      </c>
      <c r="P209" s="95">
        <f t="shared" si="46"/>
        <v>1359083.8923443821</v>
      </c>
      <c r="Q209" t="s">
        <v>158</v>
      </c>
      <c r="T209" s="55" t="s">
        <v>140</v>
      </c>
    </row>
    <row r="212" spans="2:24" s="107" customFormat="1" ht="6" customHeight="1" x14ac:dyDescent="0.25">
      <c r="X212" s="98"/>
    </row>
    <row r="213" spans="2:24" ht="15.75" thickBot="1" x14ac:dyDescent="0.3"/>
    <row r="214" spans="2:24" ht="21.75" thickBot="1" x14ac:dyDescent="0.4">
      <c r="B214">
        <v>6</v>
      </c>
      <c r="C214" s="44">
        <v>2021</v>
      </c>
      <c r="E214" t="s">
        <v>55</v>
      </c>
      <c r="J214" t="s">
        <v>78</v>
      </c>
      <c r="M214" s="136">
        <f>INDEX('Прожит минимум'!$B$5:$P$5,1,B214)</f>
        <v>190967.27764392007</v>
      </c>
    </row>
    <row r="215" spans="2:24" x14ac:dyDescent="0.25">
      <c r="G215" t="s">
        <v>66</v>
      </c>
    </row>
    <row r="216" spans="2:24" ht="18.75" x14ac:dyDescent="0.3">
      <c r="E216" t="s">
        <v>191</v>
      </c>
      <c r="G216" s="31">
        <f>E229+E232+E239</f>
        <v>0</v>
      </c>
    </row>
    <row r="217" spans="2:24" ht="21.75" thickBot="1" x14ac:dyDescent="0.4">
      <c r="E217" t="s">
        <v>65</v>
      </c>
      <c r="G217" s="30">
        <f>P239/G239</f>
        <v>8.1917654595153628</v>
      </c>
      <c r="K217" t="s">
        <v>116</v>
      </c>
      <c r="O217" s="21" t="s">
        <v>67</v>
      </c>
    </row>
    <row r="218" spans="2:24" ht="15.75" thickBot="1" x14ac:dyDescent="0.3">
      <c r="E218" t="s">
        <v>57</v>
      </c>
      <c r="G218" s="29">
        <f>I218</f>
        <v>0.33333333333333331</v>
      </c>
      <c r="I218" s="36">
        <f>((1000000*INDEX(input2021,3)/(G224*ndec1_2021)-10)/45)</f>
        <v>0.33333333333333331</v>
      </c>
      <c r="K218" s="32">
        <f>INDEX(input2021,3)*1000000/(10*ndec1_2021)</f>
        <v>114439.82072431174</v>
      </c>
      <c r="L218" t="s">
        <v>63</v>
      </c>
      <c r="O218" s="77">
        <f>NNNdec1_2021/10</f>
        <v>99985.3</v>
      </c>
    </row>
    <row r="219" spans="2:24" ht="15.75" thickBot="1" x14ac:dyDescent="0.3">
      <c r="E219" t="s">
        <v>62</v>
      </c>
      <c r="G219" s="29">
        <f>I219</f>
        <v>0.51851851851851871</v>
      </c>
      <c r="I219" s="36">
        <f>(1000000*INDEX(input2021,1)/(H224*ndec1_2021)-10)/45</f>
        <v>0.51851851851851871</v>
      </c>
      <c r="K219" s="33">
        <f>INDEX(input2021,1)*1000000/(10*ndec1_2021)</f>
        <v>197314.64518369056</v>
      </c>
      <c r="L219" t="s">
        <v>64</v>
      </c>
    </row>
    <row r="220" spans="2:24" ht="15.75" thickBot="1" x14ac:dyDescent="0.3">
      <c r="E220" t="s">
        <v>60</v>
      </c>
      <c r="G220" s="29">
        <f>$L224</f>
        <v>1.3322320995444401</v>
      </c>
      <c r="K220" s="34">
        <f>(INDEX(input2021,2)+INDEX(input2021,4))*1000000/(10*ndec1_2021)</f>
        <v>339462.38680136041</v>
      </c>
      <c r="L220" t="s">
        <v>117</v>
      </c>
    </row>
    <row r="221" spans="2:24" ht="15.75" thickBot="1" x14ac:dyDescent="0.3">
      <c r="G221" s="25"/>
      <c r="H221" s="25"/>
      <c r="I221" s="25"/>
      <c r="J221" s="25"/>
      <c r="K221" s="25"/>
      <c r="L221" s="25"/>
      <c r="M221" s="25"/>
      <c r="N221" s="25"/>
      <c r="O221" s="25"/>
      <c r="P221" s="25"/>
    </row>
    <row r="222" spans="2:24" ht="15.75" thickBot="1" x14ac:dyDescent="0.3">
      <c r="G222" s="26"/>
      <c r="H222" s="27"/>
      <c r="I222" s="27"/>
      <c r="J222" s="27"/>
      <c r="K222" s="27"/>
      <c r="L222" s="27"/>
      <c r="M222" s="27"/>
      <c r="N222" s="27"/>
      <c r="O222" s="48"/>
      <c r="P222" s="48"/>
    </row>
    <row r="223" spans="2:24" ht="15.75" thickBot="1" x14ac:dyDescent="0.3">
      <c r="N223" t="s">
        <v>68</v>
      </c>
      <c r="O223" s="41">
        <f>INDEX(input2021,1)</f>
        <v>197285.63993084859</v>
      </c>
      <c r="P223" s="41">
        <f>INDEX(input2021,2)</f>
        <v>197285.63993084859</v>
      </c>
      <c r="Q223" s="41">
        <f>INDEX(input2021,3)</f>
        <v>114422.99807066527</v>
      </c>
      <c r="R223" s="41">
        <f>INDEX(input2021,4)</f>
        <v>142126.84589965205</v>
      </c>
    </row>
    <row r="224" spans="2:24" ht="15.75" thickBot="1" x14ac:dyDescent="0.3">
      <c r="E224" t="s">
        <v>118</v>
      </c>
      <c r="G224" s="45">
        <f>K218*G225</f>
        <v>45775.928289724696</v>
      </c>
      <c r="H224" s="45">
        <f>K219*H225</f>
        <v>59194.393555107163</v>
      </c>
      <c r="I224" s="37">
        <f>K220*I225</f>
        <v>67892.477360272082</v>
      </c>
      <c r="K224" t="s">
        <v>60</v>
      </c>
      <c r="L224" s="46">
        <v>1.3322320995444401</v>
      </c>
      <c r="N224" t="s">
        <v>121</v>
      </c>
      <c r="O224" s="76">
        <f>вход!G23*1000</f>
        <v>999853</v>
      </c>
    </row>
    <row r="225" spans="5:20" ht="15.75" thickBot="1" x14ac:dyDescent="0.3">
      <c r="E225" t="s">
        <v>119</v>
      </c>
      <c r="G225" s="24">
        <v>0.4</v>
      </c>
      <c r="H225" s="24">
        <v>0.3</v>
      </c>
      <c r="I225" s="24">
        <v>0.2</v>
      </c>
      <c r="N225" t="s">
        <v>69</v>
      </c>
      <c r="O225" s="106">
        <f>dohod2021</f>
        <v>651121.12383201451</v>
      </c>
    </row>
    <row r="226" spans="5:20" x14ac:dyDescent="0.25">
      <c r="E226" t="s">
        <v>58</v>
      </c>
    </row>
    <row r="227" spans="5:20" x14ac:dyDescent="0.25">
      <c r="G227" s="25">
        <v>1</v>
      </c>
      <c r="H227" s="25">
        <v>2</v>
      </c>
      <c r="I227" s="25">
        <v>3</v>
      </c>
      <c r="J227" s="25">
        <v>4</v>
      </c>
      <c r="K227" s="25">
        <v>5</v>
      </c>
      <c r="L227" s="25">
        <v>6</v>
      </c>
      <c r="M227" s="25">
        <v>7</v>
      </c>
      <c r="N227" s="25">
        <v>8</v>
      </c>
      <c r="O227" s="25">
        <v>9</v>
      </c>
      <c r="P227" s="25">
        <v>10</v>
      </c>
    </row>
    <row r="228" spans="5:20" ht="15.75" thickBot="1" x14ac:dyDescent="0.3">
      <c r="E228" t="s">
        <v>61</v>
      </c>
      <c r="G228">
        <f>$G224</f>
        <v>45775.928289724696</v>
      </c>
      <c r="H228">
        <f>$G224*(1+(H227-1)*$G218)</f>
        <v>61034.571052966261</v>
      </c>
      <c r="I228">
        <f t="shared" ref="I228:P228" si="47">$G224*(1+(I227-1)*$G218)</f>
        <v>76293.213816207819</v>
      </c>
      <c r="J228">
        <f t="shared" si="47"/>
        <v>91551.856579449392</v>
      </c>
      <c r="K228">
        <f t="shared" si="47"/>
        <v>106810.49934269095</v>
      </c>
      <c r="L228">
        <f t="shared" si="47"/>
        <v>122069.14210593252</v>
      </c>
      <c r="M228">
        <f t="shared" si="47"/>
        <v>137327.78486917409</v>
      </c>
      <c r="N228">
        <f t="shared" si="47"/>
        <v>152586.42763241564</v>
      </c>
      <c r="O228">
        <f t="shared" si="47"/>
        <v>167845.07039565721</v>
      </c>
      <c r="P228">
        <f t="shared" si="47"/>
        <v>183103.71315889878</v>
      </c>
    </row>
    <row r="229" spans="5:20" ht="15.75" thickBot="1" x14ac:dyDescent="0.3">
      <c r="E229" s="28">
        <f>SUM(G228:P228)-10000000*$Q223/NNNdec1_2021</f>
        <v>0</v>
      </c>
    </row>
    <row r="230" spans="5:20" x14ac:dyDescent="0.25">
      <c r="E230" t="s">
        <v>133</v>
      </c>
    </row>
    <row r="231" spans="5:20" ht="15.75" thickBot="1" x14ac:dyDescent="0.3">
      <c r="E231" t="s">
        <v>61</v>
      </c>
      <c r="G231" s="25">
        <v>1</v>
      </c>
      <c r="H231" s="25">
        <v>2</v>
      </c>
      <c r="I231" s="25">
        <v>3</v>
      </c>
      <c r="J231" s="25">
        <v>4</v>
      </c>
      <c r="K231" s="25">
        <v>5</v>
      </c>
      <c r="L231" s="25">
        <v>6</v>
      </c>
      <c r="M231" s="25">
        <v>7</v>
      </c>
      <c r="N231" s="25">
        <v>8</v>
      </c>
      <c r="O231" s="25">
        <v>9</v>
      </c>
      <c r="P231" s="25">
        <v>10</v>
      </c>
    </row>
    <row r="232" spans="5:20" ht="15.75" thickBot="1" x14ac:dyDescent="0.3">
      <c r="E232" s="28">
        <f>SUM(G232:P232)-10000000*$O223/NNNdec1_2021</f>
        <v>0</v>
      </c>
      <c r="G232">
        <f>$H224</f>
        <v>59194.393555107163</v>
      </c>
      <c r="H232">
        <f>$H224*(1+(H231-1)*$G219)</f>
        <v>89887.78280590348</v>
      </c>
      <c r="I232">
        <f t="shared" ref="I232:P232" si="48">$H224*(1+(I231-1)*$G219)</f>
        <v>120581.17205669978</v>
      </c>
      <c r="J232">
        <f t="shared" si="48"/>
        <v>151274.56130749613</v>
      </c>
      <c r="K232">
        <f t="shared" si="48"/>
        <v>181967.95055829245</v>
      </c>
      <c r="L232">
        <f t="shared" si="48"/>
        <v>212661.33980908873</v>
      </c>
      <c r="M232">
        <f t="shared" si="48"/>
        <v>243354.72905988508</v>
      </c>
      <c r="N232">
        <f t="shared" si="48"/>
        <v>274048.11831068143</v>
      </c>
      <c r="O232">
        <f t="shared" si="48"/>
        <v>304741.50756147772</v>
      </c>
      <c r="P232">
        <f t="shared" si="48"/>
        <v>335434.89681227406</v>
      </c>
    </row>
    <row r="234" spans="5:20" x14ac:dyDescent="0.25">
      <c r="E234" t="s">
        <v>59</v>
      </c>
    </row>
    <row r="235" spans="5:20" x14ac:dyDescent="0.25">
      <c r="G235" s="25">
        <v>1</v>
      </c>
      <c r="H235" s="25">
        <v>2</v>
      </c>
      <c r="I235" s="25">
        <v>3</v>
      </c>
      <c r="J235" s="25">
        <v>4</v>
      </c>
      <c r="K235" s="25">
        <v>5</v>
      </c>
      <c r="L235" s="25">
        <v>6</v>
      </c>
      <c r="M235" s="25">
        <v>7</v>
      </c>
      <c r="N235" s="25">
        <v>8</v>
      </c>
      <c r="O235" s="25">
        <v>9</v>
      </c>
      <c r="P235" s="25">
        <v>10</v>
      </c>
    </row>
    <row r="236" spans="5:20" x14ac:dyDescent="0.25">
      <c r="G236">
        <f>$I224</f>
        <v>67892.477360272082</v>
      </c>
      <c r="H236">
        <f>G236*$L224</f>
        <v>90448.53765694864</v>
      </c>
      <c r="I236">
        <f t="shared" ref="I236" si="49">H236*$L224</f>
        <v>120498.44522344104</v>
      </c>
      <c r="J236">
        <f t="shared" ref="J236" si="50">I236*$L224</f>
        <v>160531.89667186557</v>
      </c>
      <c r="K236">
        <f t="shared" ref="K236" si="51">J236*$L224</f>
        <v>213865.7457470106</v>
      </c>
      <c r="L236">
        <f t="shared" ref="L236" si="52">K236*$L224</f>
        <v>284918.81147717737</v>
      </c>
      <c r="M236">
        <f t="shared" ref="M236" si="53">L236*$L224</f>
        <v>379577.98641394655</v>
      </c>
      <c r="N236">
        <f t="shared" ref="N236" si="54">M236*$L224</f>
        <v>505685.97778110299</v>
      </c>
      <c r="O236">
        <f t="shared" ref="O236" si="55">N236*$L224</f>
        <v>673691.0918895019</v>
      </c>
      <c r="P236">
        <f t="shared" ref="P236" si="56">O236*$L224</f>
        <v>897512.89779233746</v>
      </c>
    </row>
    <row r="238" spans="5:20" ht="15.75" thickBot="1" x14ac:dyDescent="0.3">
      <c r="E238" t="s">
        <v>120</v>
      </c>
      <c r="G238" s="25">
        <v>1</v>
      </c>
      <c r="H238" s="25">
        <v>2</v>
      </c>
      <c r="I238" s="25">
        <v>3</v>
      </c>
      <c r="J238" s="25">
        <v>4</v>
      </c>
      <c r="K238" s="25">
        <v>5</v>
      </c>
      <c r="L238" s="25">
        <v>6</v>
      </c>
      <c r="M238" s="25">
        <v>7</v>
      </c>
      <c r="N238" s="25">
        <v>8</v>
      </c>
      <c r="O238" s="25">
        <v>9</v>
      </c>
      <c r="P238" s="25">
        <v>10</v>
      </c>
    </row>
    <row r="239" spans="5:20" ht="19.5" thickBot="1" x14ac:dyDescent="0.35">
      <c r="E239" s="146">
        <f>SUM(G239:P239)*ndec1_2021-1000000*O225</f>
        <v>0</v>
      </c>
      <c r="G239" s="38">
        <f>G228+G232+G236</f>
        <v>172862.79920510395</v>
      </c>
      <c r="H239" s="39">
        <f t="shared" ref="H239:P239" si="57">H228+H232+H236</f>
        <v>241370.8915158184</v>
      </c>
      <c r="I239" s="39">
        <f t="shared" si="57"/>
        <v>317372.83109634864</v>
      </c>
      <c r="J239" s="39">
        <f t="shared" si="57"/>
        <v>403358.31455881114</v>
      </c>
      <c r="K239" s="39">
        <f t="shared" si="57"/>
        <v>502644.19564799394</v>
      </c>
      <c r="L239" s="39">
        <f t="shared" si="57"/>
        <v>619649.29339219863</v>
      </c>
      <c r="M239" s="39">
        <f t="shared" si="57"/>
        <v>760260.50034300564</v>
      </c>
      <c r="N239" s="39">
        <f t="shared" si="57"/>
        <v>932320.52372420009</v>
      </c>
      <c r="O239" s="39">
        <f t="shared" si="57"/>
        <v>1146277.6698466367</v>
      </c>
      <c r="P239" s="40">
        <f t="shared" si="57"/>
        <v>1416051.5077635103</v>
      </c>
      <c r="Q239" t="s">
        <v>175</v>
      </c>
      <c r="T239" s="55" t="s">
        <v>172</v>
      </c>
    </row>
    <row r="242" spans="2:18" ht="15.75" thickBot="1" x14ac:dyDescent="0.3"/>
    <row r="243" spans="2:18" ht="21.75" thickBot="1" x14ac:dyDescent="0.4">
      <c r="B243">
        <v>7</v>
      </c>
      <c r="C243" s="44">
        <v>2022</v>
      </c>
      <c r="E243" t="s">
        <v>55</v>
      </c>
      <c r="J243" t="s">
        <v>78</v>
      </c>
      <c r="M243" s="136">
        <f>INDEX('Прожит минимум'!$B$5:$P$5,1,B243)</f>
        <v>202425.31430255529</v>
      </c>
    </row>
    <row r="244" spans="2:18" x14ac:dyDescent="0.25">
      <c r="G244" t="s">
        <v>66</v>
      </c>
    </row>
    <row r="245" spans="2:18" ht="18.75" x14ac:dyDescent="0.3">
      <c r="E245" t="s">
        <v>192</v>
      </c>
      <c r="G245" s="31">
        <f>E258+E261+E268</f>
        <v>0</v>
      </c>
    </row>
    <row r="246" spans="2:18" ht="21.75" thickBot="1" x14ac:dyDescent="0.4">
      <c r="E246" t="s">
        <v>65</v>
      </c>
      <c r="G246" s="30">
        <f>P268/G268</f>
        <v>9.259402795485471</v>
      </c>
      <c r="K246" t="s">
        <v>116</v>
      </c>
      <c r="O246" s="21" t="s">
        <v>67</v>
      </c>
    </row>
    <row r="247" spans="2:18" ht="15.75" thickBot="1" x14ac:dyDescent="0.3">
      <c r="E247" t="s">
        <v>57</v>
      </c>
      <c r="G247" s="29">
        <f>I247</f>
        <v>0.33333333333333331</v>
      </c>
      <c r="I247" s="36">
        <f>((1000000*INDEX(input2022,3)/(G253*ndec1_2022)-10)/45)</f>
        <v>0.33333333333333331</v>
      </c>
      <c r="K247" s="32">
        <f>INDEX(input2022,3)*1000000/(10*ndec1_2022)</f>
        <v>130232.59496902538</v>
      </c>
      <c r="L247" t="s">
        <v>63</v>
      </c>
      <c r="O247" s="77">
        <f>NNNdec1_2022/10</f>
        <v>98461.3</v>
      </c>
    </row>
    <row r="248" spans="2:18" ht="15.75" thickBot="1" x14ac:dyDescent="0.3">
      <c r="E248" t="s">
        <v>62</v>
      </c>
      <c r="G248" s="29">
        <f>I248</f>
        <v>0.5185185185185186</v>
      </c>
      <c r="I248" s="36">
        <f>(1000000*INDEX(input2022,1)/(H253*ndec1_2022)-10)/45</f>
        <v>0.5185185185185186</v>
      </c>
      <c r="K248" s="33">
        <f>INDEX(input2022,1)*1000000/(10*ndec1_2022)</f>
        <v>214120.01811808572</v>
      </c>
      <c r="L248" t="s">
        <v>64</v>
      </c>
    </row>
    <row r="249" spans="2:18" ht="15.75" thickBot="1" x14ac:dyDescent="0.3">
      <c r="E249" t="s">
        <v>60</v>
      </c>
      <c r="G249" s="29">
        <f>$L253</f>
        <v>1.3774554333045044</v>
      </c>
      <c r="K249" s="34">
        <f>(INDEX(input2022,2)+INDEX(input2022,4))*1000000/(10*ndec1_2022)</f>
        <v>367128.82122512488</v>
      </c>
      <c r="L249" t="s">
        <v>117</v>
      </c>
    </row>
    <row r="250" spans="2:18" ht="15.75" thickBot="1" x14ac:dyDescent="0.3">
      <c r="G250" s="25"/>
      <c r="H250" s="25"/>
      <c r="I250" s="25"/>
      <c r="J250" s="25"/>
      <c r="K250" s="25"/>
      <c r="L250" s="25"/>
      <c r="M250" s="25"/>
      <c r="N250" s="25"/>
      <c r="O250" s="25"/>
      <c r="P250" s="25"/>
    </row>
    <row r="251" spans="2:18" ht="15.75" thickBot="1" x14ac:dyDescent="0.3">
      <c r="G251" s="26"/>
      <c r="H251" s="27"/>
      <c r="I251" s="27"/>
      <c r="J251" s="27"/>
      <c r="K251" s="27"/>
      <c r="L251" s="27"/>
      <c r="M251" s="27"/>
      <c r="N251" s="27"/>
      <c r="O251" s="48"/>
      <c r="P251" s="48"/>
    </row>
    <row r="252" spans="2:18" ht="15.75" thickBot="1" x14ac:dyDescent="0.3">
      <c r="N252" t="s">
        <v>68</v>
      </c>
      <c r="O252" s="41">
        <f>INDEX(input2022,1)</f>
        <v>210825.35339930272</v>
      </c>
      <c r="P252" s="41">
        <f>INDEX(input2022,2)</f>
        <v>210825.35339930272</v>
      </c>
      <c r="Q252" s="41">
        <f>INDEX(input2022,3)</f>
        <v>128228.70603023698</v>
      </c>
      <c r="R252" s="41">
        <f>INDEX(input2022,4)</f>
        <v>150654.45665363118</v>
      </c>
    </row>
    <row r="253" spans="2:18" ht="15.75" thickBot="1" x14ac:dyDescent="0.3">
      <c r="E253" t="s">
        <v>118</v>
      </c>
      <c r="G253" s="45">
        <f>K247*G254</f>
        <v>52093.037987610151</v>
      </c>
      <c r="H253" s="45">
        <f>K248*H254</f>
        <v>64236.005435425715</v>
      </c>
      <c r="I253" s="37">
        <f>K249*I254</f>
        <v>58740.61139601998</v>
      </c>
      <c r="K253" t="s">
        <v>60</v>
      </c>
      <c r="L253" s="46">
        <v>1.3774554333045044</v>
      </c>
      <c r="N253" t="s">
        <v>121</v>
      </c>
      <c r="O253" s="76">
        <f>вход!H23*1000</f>
        <v>984613</v>
      </c>
    </row>
    <row r="254" spans="2:18" ht="15.75" thickBot="1" x14ac:dyDescent="0.3">
      <c r="E254" t="s">
        <v>119</v>
      </c>
      <c r="G254" s="24">
        <v>0.4</v>
      </c>
      <c r="H254" s="24">
        <v>0.3</v>
      </c>
      <c r="I254" s="24">
        <v>0.16</v>
      </c>
      <c r="N254" t="s">
        <v>69</v>
      </c>
      <c r="O254" s="47">
        <f>dohod2022</f>
        <v>700533.86948247359</v>
      </c>
    </row>
    <row r="255" spans="2:18" x14ac:dyDescent="0.25">
      <c r="E255" t="s">
        <v>58</v>
      </c>
    </row>
    <row r="256" spans="2:18" x14ac:dyDescent="0.25">
      <c r="G256" s="25">
        <v>1</v>
      </c>
      <c r="H256" s="25">
        <v>2</v>
      </c>
      <c r="I256" s="25">
        <v>3</v>
      </c>
      <c r="J256" s="25">
        <v>4</v>
      </c>
      <c r="K256" s="25">
        <v>5</v>
      </c>
      <c r="L256" s="25">
        <v>6</v>
      </c>
      <c r="M256" s="25">
        <v>7</v>
      </c>
      <c r="N256" s="25">
        <v>8</v>
      </c>
      <c r="O256" s="25">
        <v>9</v>
      </c>
      <c r="P256" s="25">
        <v>10</v>
      </c>
    </row>
    <row r="257" spans="2:20" ht="15.75" thickBot="1" x14ac:dyDescent="0.3">
      <c r="E257" t="s">
        <v>61</v>
      </c>
      <c r="G257">
        <f>$G253</f>
        <v>52093.037987610151</v>
      </c>
      <c r="H257">
        <f>$G253*(1+(H256-1)*$G247)</f>
        <v>69457.383983480191</v>
      </c>
      <c r="I257">
        <f t="shared" ref="I257:P257" si="58">$G253*(1+(I256-1)*$G247)</f>
        <v>86821.729979350246</v>
      </c>
      <c r="J257">
        <f t="shared" si="58"/>
        <v>104186.0759752203</v>
      </c>
      <c r="K257">
        <f t="shared" si="58"/>
        <v>121550.42197109034</v>
      </c>
      <c r="L257">
        <f t="shared" si="58"/>
        <v>138914.76796696038</v>
      </c>
      <c r="M257">
        <f t="shared" si="58"/>
        <v>156279.11396283045</v>
      </c>
      <c r="N257">
        <f t="shared" si="58"/>
        <v>173643.45995870049</v>
      </c>
      <c r="O257">
        <f t="shared" si="58"/>
        <v>191007.80595457053</v>
      </c>
      <c r="P257">
        <f t="shared" si="58"/>
        <v>208372.1519504406</v>
      </c>
    </row>
    <row r="258" spans="2:20" ht="15.75" thickBot="1" x14ac:dyDescent="0.3">
      <c r="E258" s="28">
        <f>SUM(G257:P257)-10000000*$Q252/NNNdec1_2022</f>
        <v>0</v>
      </c>
    </row>
    <row r="259" spans="2:20" x14ac:dyDescent="0.25">
      <c r="E259" t="s">
        <v>133</v>
      </c>
    </row>
    <row r="260" spans="2:20" ht="15.75" thickBot="1" x14ac:dyDescent="0.3">
      <c r="E260" t="s">
        <v>61</v>
      </c>
      <c r="G260" s="25">
        <v>1</v>
      </c>
      <c r="H260" s="25">
        <v>2</v>
      </c>
      <c r="I260" s="25">
        <v>3</v>
      </c>
      <c r="J260" s="25">
        <v>4</v>
      </c>
      <c r="K260" s="25">
        <v>5</v>
      </c>
      <c r="L260" s="25">
        <v>6</v>
      </c>
      <c r="M260" s="25">
        <v>7</v>
      </c>
      <c r="N260" s="25">
        <v>8</v>
      </c>
      <c r="O260" s="25">
        <v>9</v>
      </c>
      <c r="P260" s="25">
        <v>10</v>
      </c>
    </row>
    <row r="261" spans="2:20" ht="15.75" thickBot="1" x14ac:dyDescent="0.3">
      <c r="E261" s="28">
        <f>SUM(G261:P261)-10000000*$O252/NNNdec1_2022</f>
        <v>0</v>
      </c>
      <c r="G261">
        <f>$H253</f>
        <v>64236.005435425715</v>
      </c>
      <c r="H261">
        <f>$H253*(1+(H260-1)*$G248)</f>
        <v>97543.563809350162</v>
      </c>
      <c r="I261">
        <f t="shared" ref="I261:P261" si="59">$H253*(1+(I260-1)*$G248)</f>
        <v>130851.12218327462</v>
      </c>
      <c r="J261">
        <f t="shared" si="59"/>
        <v>164158.68055719906</v>
      </c>
      <c r="K261">
        <f t="shared" si="59"/>
        <v>197466.23893112352</v>
      </c>
      <c r="L261">
        <f t="shared" si="59"/>
        <v>230773.79730504798</v>
      </c>
      <c r="M261">
        <f t="shared" si="59"/>
        <v>264081.35567897244</v>
      </c>
      <c r="N261">
        <f t="shared" si="59"/>
        <v>297388.91405289684</v>
      </c>
      <c r="O261">
        <f t="shared" si="59"/>
        <v>330696.4724268213</v>
      </c>
      <c r="P261">
        <f t="shared" si="59"/>
        <v>364004.03080074582</v>
      </c>
    </row>
    <row r="263" spans="2:20" x14ac:dyDescent="0.25">
      <c r="E263" t="s">
        <v>59</v>
      </c>
    </row>
    <row r="264" spans="2:20" x14ac:dyDescent="0.25">
      <c r="G264" s="25">
        <v>1</v>
      </c>
      <c r="H264" s="25">
        <v>2</v>
      </c>
      <c r="I264" s="25">
        <v>3</v>
      </c>
      <c r="J264" s="25">
        <v>4</v>
      </c>
      <c r="K264" s="25">
        <v>5</v>
      </c>
      <c r="L264" s="25">
        <v>6</v>
      </c>
      <c r="M264" s="25">
        <v>7</v>
      </c>
      <c r="N264" s="25">
        <v>8</v>
      </c>
      <c r="O264" s="25">
        <v>9</v>
      </c>
      <c r="P264" s="25">
        <v>10</v>
      </c>
    </row>
    <row r="265" spans="2:20" x14ac:dyDescent="0.25">
      <c r="G265">
        <f>$I253</f>
        <v>58740.61139601998</v>
      </c>
      <c r="H265">
        <f>G265*$L253</f>
        <v>80912.574323076202</v>
      </c>
      <c r="I265">
        <f t="shared" ref="I265" si="60">H265*$L253</f>
        <v>111453.46512397584</v>
      </c>
      <c r="J265">
        <f t="shared" ref="J265" si="61">I265*$L253</f>
        <v>153522.18109563462</v>
      </c>
      <c r="K265">
        <f t="shared" ref="K265" si="62">J265*$L253</f>
        <v>211469.96248293997</v>
      </c>
      <c r="L265">
        <f t="shared" ref="L265" si="63">K265*$L253</f>
        <v>291290.44880282535</v>
      </c>
      <c r="M265">
        <f t="shared" ref="M265" si="64">L265*$L253</f>
        <v>401239.61137315934</v>
      </c>
      <c r="N265">
        <f t="shared" ref="N265" si="65">M265*$L253</f>
        <v>552689.68274294608</v>
      </c>
      <c r="O265">
        <f t="shared" ref="O265" si="66">N265*$L253</f>
        <v>761305.40642561379</v>
      </c>
      <c r="P265">
        <f t="shared" ref="P265" si="67">O265*$L253</f>
        <v>1048664.2684850558</v>
      </c>
    </row>
    <row r="267" spans="2:20" ht="15.75" thickBot="1" x14ac:dyDescent="0.3">
      <c r="E267" t="s">
        <v>120</v>
      </c>
      <c r="G267" s="25">
        <v>1</v>
      </c>
      <c r="H267" s="25">
        <v>2</v>
      </c>
      <c r="I267" s="25">
        <v>3</v>
      </c>
      <c r="J267" s="25">
        <v>4</v>
      </c>
      <c r="K267" s="25">
        <v>5</v>
      </c>
      <c r="L267" s="25">
        <v>6</v>
      </c>
      <c r="M267" s="25">
        <v>7</v>
      </c>
      <c r="N267" s="25">
        <v>8</v>
      </c>
      <c r="O267" s="25">
        <v>9</v>
      </c>
      <c r="P267" s="25">
        <v>10</v>
      </c>
    </row>
    <row r="268" spans="2:20" ht="19.5" thickBot="1" x14ac:dyDescent="0.35">
      <c r="E268" s="35">
        <f>SUM(G268:P268)*ndec1_2022-1000000*O254</f>
        <v>0</v>
      </c>
      <c r="G268" s="38">
        <f>G257+G261+G265</f>
        <v>175069.65481905584</v>
      </c>
      <c r="H268" s="39">
        <f t="shared" ref="H268:P268" si="68">H257+H261+H265</f>
        <v>247913.52211590655</v>
      </c>
      <c r="I268" s="39">
        <f t="shared" si="68"/>
        <v>329126.31728660071</v>
      </c>
      <c r="J268" s="39">
        <f t="shared" si="68"/>
        <v>421866.93762805394</v>
      </c>
      <c r="K268" s="39">
        <f t="shared" si="68"/>
        <v>530486.62338515383</v>
      </c>
      <c r="L268" s="39">
        <f t="shared" si="68"/>
        <v>660979.01407483371</v>
      </c>
      <c r="M268" s="39">
        <f t="shared" si="68"/>
        <v>821600.08101496217</v>
      </c>
      <c r="N268" s="39">
        <f t="shared" si="68"/>
        <v>1023722.0567545434</v>
      </c>
      <c r="O268" s="39">
        <f t="shared" si="68"/>
        <v>1283009.6848070056</v>
      </c>
      <c r="P268" s="40">
        <f t="shared" si="68"/>
        <v>1621040.4512362422</v>
      </c>
      <c r="Q268" t="s">
        <v>183</v>
      </c>
      <c r="T268" s="55" t="s">
        <v>171</v>
      </c>
    </row>
    <row r="270" spans="2:20" ht="15.75" thickBot="1" x14ac:dyDescent="0.3"/>
    <row r="271" spans="2:20" ht="21.75" thickBot="1" x14ac:dyDescent="0.4">
      <c r="B271">
        <v>8</v>
      </c>
      <c r="C271" s="44">
        <v>2023</v>
      </c>
      <c r="E271" t="s">
        <v>55</v>
      </c>
      <c r="J271" t="s">
        <v>78</v>
      </c>
      <c r="M271" s="136">
        <f>INDEX('Прожит минимум'!$B$5:$P$5,1,B271)</f>
        <v>220643.59258978529</v>
      </c>
    </row>
    <row r="272" spans="2:20" x14ac:dyDescent="0.25">
      <c r="G272" t="s">
        <v>66</v>
      </c>
    </row>
    <row r="273" spans="5:18" ht="18.75" x14ac:dyDescent="0.3">
      <c r="E273" t="s">
        <v>193</v>
      </c>
      <c r="G273" s="31">
        <f>E286+E289+E296</f>
        <v>0</v>
      </c>
    </row>
    <row r="274" spans="5:18" ht="21.75" thickBot="1" x14ac:dyDescent="0.4">
      <c r="E274" t="s">
        <v>65</v>
      </c>
      <c r="G274" s="30">
        <f>P296/G296</f>
        <v>9.193782148151401</v>
      </c>
      <c r="K274" t="s">
        <v>116</v>
      </c>
      <c r="O274" s="21" t="s">
        <v>67</v>
      </c>
    </row>
    <row r="275" spans="5:18" ht="15.75" thickBot="1" x14ac:dyDescent="0.3">
      <c r="E275" t="s">
        <v>57</v>
      </c>
      <c r="G275" s="29">
        <f>I275</f>
        <v>0.33333333333333326</v>
      </c>
      <c r="I275" s="36">
        <f>((1000000*INDEX(input2023,3)/(G281*ndec1_2023)-10)/45)</f>
        <v>0.33333333333333326</v>
      </c>
      <c r="K275" s="32">
        <f>INDEX(input2023,3)*1000000/(10*ndec1_2023)</f>
        <v>150216.38551946374</v>
      </c>
      <c r="L275" t="s">
        <v>63</v>
      </c>
      <c r="O275" s="35">
        <f>NNNdec1_2023/10</f>
        <v>96798.6</v>
      </c>
    </row>
    <row r="276" spans="5:18" ht="15.75" thickBot="1" x14ac:dyDescent="0.3">
      <c r="E276" t="s">
        <v>62</v>
      </c>
      <c r="G276" s="29">
        <f>I276</f>
        <v>0.51851851851851838</v>
      </c>
      <c r="I276" s="36">
        <f>(1000000*INDEX(input2023,1)/(H281*ndec1_2023)-10)/45</f>
        <v>0.51851851851851838</v>
      </c>
      <c r="K276" s="33">
        <f>INDEX(input2023,1)*1000000/(10*ndec1_2023)</f>
        <v>235454.27076011503</v>
      </c>
      <c r="L276" t="s">
        <v>64</v>
      </c>
    </row>
    <row r="277" spans="5:18" ht="15.75" thickBot="1" x14ac:dyDescent="0.3">
      <c r="E277" t="s">
        <v>60</v>
      </c>
      <c r="G277" s="29">
        <f>$L281</f>
        <v>1.3774554333045044</v>
      </c>
      <c r="K277" s="34">
        <f>(INDEX(input2023,2)+INDEX(input2023,4))*1000000/(10*ndec1_2023)</f>
        <v>405098.62279873749</v>
      </c>
      <c r="L277" t="s">
        <v>117</v>
      </c>
    </row>
    <row r="278" spans="5:18" ht="15.75" thickBot="1" x14ac:dyDescent="0.3">
      <c r="G278" s="25"/>
      <c r="H278" s="25"/>
      <c r="I278" s="25"/>
      <c r="J278" s="25"/>
      <c r="K278" s="25"/>
      <c r="L278" s="25"/>
      <c r="M278" s="25"/>
      <c r="N278" s="25"/>
      <c r="O278" s="25"/>
      <c r="P278" s="25"/>
    </row>
    <row r="279" spans="5:18" ht="15.75" thickBot="1" x14ac:dyDescent="0.3">
      <c r="G279" s="26"/>
      <c r="H279" s="27"/>
      <c r="I279" s="27"/>
      <c r="J279" s="27"/>
      <c r="K279" s="27"/>
      <c r="L279" s="27"/>
      <c r="M279" s="27"/>
      <c r="N279" s="27"/>
      <c r="O279" s="48"/>
      <c r="P279" s="48"/>
    </row>
    <row r="280" spans="5:18" ht="15.75" thickBot="1" x14ac:dyDescent="0.3">
      <c r="N280" t="s">
        <v>68</v>
      </c>
      <c r="O280" s="41">
        <f>INDEX(input2023,1)</f>
        <v>227916.43773600069</v>
      </c>
      <c r="P280" s="41">
        <f>INDEX(input2023,2)</f>
        <v>227916.43773600069</v>
      </c>
      <c r="Q280" s="41">
        <f>INDEX(input2023,3)</f>
        <v>145407.35815344364</v>
      </c>
      <c r="R280" s="41">
        <f>INDEX(input2023,4)</f>
        <v>164213.35775245799</v>
      </c>
    </row>
    <row r="281" spans="5:18" ht="15.75" thickBot="1" x14ac:dyDescent="0.3">
      <c r="E281" t="s">
        <v>118</v>
      </c>
      <c r="G281" s="45">
        <f>K275*G282</f>
        <v>60086.554207785499</v>
      </c>
      <c r="H281" s="45">
        <f>K276*H282</f>
        <v>70636.28122803451</v>
      </c>
      <c r="I281" s="37">
        <f>K277*I282</f>
        <v>64815.779647798001</v>
      </c>
      <c r="K281" t="s">
        <v>60</v>
      </c>
      <c r="L281" s="46">
        <v>1.3774554333045044</v>
      </c>
      <c r="N281" t="s">
        <v>121</v>
      </c>
      <c r="O281" s="49">
        <f>вход!I23*1000</f>
        <v>967986</v>
      </c>
    </row>
    <row r="282" spans="5:18" ht="15.75" thickBot="1" x14ac:dyDescent="0.3">
      <c r="E282" t="s">
        <v>119</v>
      </c>
      <c r="G282" s="24">
        <v>0.4</v>
      </c>
      <c r="H282" s="24">
        <v>0.3</v>
      </c>
      <c r="I282" s="24">
        <v>0.16</v>
      </c>
      <c r="N282" t="s">
        <v>69</v>
      </c>
      <c r="O282" s="47">
        <f>dohod2023</f>
        <v>765453.59137790301</v>
      </c>
    </row>
    <row r="283" spans="5:18" x14ac:dyDescent="0.25">
      <c r="E283" t="s">
        <v>58</v>
      </c>
    </row>
    <row r="284" spans="5:18" x14ac:dyDescent="0.25">
      <c r="G284" s="25">
        <v>1</v>
      </c>
      <c r="H284" s="25">
        <v>2</v>
      </c>
      <c r="I284" s="25">
        <v>3</v>
      </c>
      <c r="J284" s="25">
        <v>4</v>
      </c>
      <c r="K284" s="25">
        <v>5</v>
      </c>
      <c r="L284" s="25">
        <v>6</v>
      </c>
      <c r="M284" s="25">
        <v>7</v>
      </c>
      <c r="N284" s="25">
        <v>8</v>
      </c>
      <c r="O284" s="25">
        <v>9</v>
      </c>
      <c r="P284" s="25">
        <v>10</v>
      </c>
    </row>
    <row r="285" spans="5:18" ht="15.75" thickBot="1" x14ac:dyDescent="0.3">
      <c r="E285" t="s">
        <v>61</v>
      </c>
      <c r="G285">
        <f>$G281</f>
        <v>60086.554207785499</v>
      </c>
      <c r="H285">
        <f>$G281*(1+(H284-1)*$G275)</f>
        <v>80115.405610380665</v>
      </c>
      <c r="I285">
        <f t="shared" ref="I285:P285" si="69">$G281*(1+(I284-1)*$G275)</f>
        <v>100144.25701297582</v>
      </c>
      <c r="J285">
        <f t="shared" si="69"/>
        <v>120173.10841557098</v>
      </c>
      <c r="K285">
        <f t="shared" si="69"/>
        <v>140201.95981816616</v>
      </c>
      <c r="L285">
        <f t="shared" si="69"/>
        <v>160230.8112207613</v>
      </c>
      <c r="M285">
        <f t="shared" si="69"/>
        <v>180259.66262335647</v>
      </c>
      <c r="N285">
        <f t="shared" si="69"/>
        <v>200288.51402595165</v>
      </c>
      <c r="O285">
        <f t="shared" si="69"/>
        <v>220317.36542854679</v>
      </c>
      <c r="P285">
        <f t="shared" si="69"/>
        <v>240346.21683114194</v>
      </c>
    </row>
    <row r="286" spans="5:18" ht="15.75" thickBot="1" x14ac:dyDescent="0.3">
      <c r="E286" s="28">
        <f>SUM(G285:P285)-10000000*$Q280/NNNdec1_2023</f>
        <v>0</v>
      </c>
    </row>
    <row r="287" spans="5:18" x14ac:dyDescent="0.25">
      <c r="E287" t="s">
        <v>133</v>
      </c>
    </row>
    <row r="288" spans="5:18" ht="15.75" thickBot="1" x14ac:dyDescent="0.3">
      <c r="E288" t="s">
        <v>61</v>
      </c>
      <c r="G288" s="25">
        <v>1</v>
      </c>
      <c r="H288" s="25">
        <v>2</v>
      </c>
      <c r="I288" s="25">
        <v>3</v>
      </c>
      <c r="J288" s="25">
        <v>4</v>
      </c>
      <c r="K288" s="25">
        <v>5</v>
      </c>
      <c r="L288" s="25">
        <v>6</v>
      </c>
      <c r="M288" s="25">
        <v>7</v>
      </c>
      <c r="N288" s="25">
        <v>8</v>
      </c>
      <c r="O288" s="25">
        <v>9</v>
      </c>
      <c r="P288" s="25">
        <v>10</v>
      </c>
    </row>
    <row r="289" spans="2:20" ht="15.75" thickBot="1" x14ac:dyDescent="0.3">
      <c r="E289" s="28">
        <f>SUM(G289:P289)-10000000*$O280/NNNdec1_2023</f>
        <v>0</v>
      </c>
      <c r="G289">
        <f>$H281</f>
        <v>70636.28122803451</v>
      </c>
      <c r="H289">
        <f>$H281*(1+(H288-1)*$G276)</f>
        <v>107262.50112405239</v>
      </c>
      <c r="I289">
        <f t="shared" ref="I289:P289" si="70">$H281*(1+(I288-1)*$G276)</f>
        <v>143888.72102007028</v>
      </c>
      <c r="J289">
        <f t="shared" si="70"/>
        <v>180514.94091608818</v>
      </c>
      <c r="K289">
        <f t="shared" si="70"/>
        <v>217141.16081210604</v>
      </c>
      <c r="L289">
        <f t="shared" si="70"/>
        <v>253767.38070812391</v>
      </c>
      <c r="M289">
        <f t="shared" si="70"/>
        <v>290393.60060414183</v>
      </c>
      <c r="N289">
        <f t="shared" si="70"/>
        <v>327019.82050015969</v>
      </c>
      <c r="O289">
        <f t="shared" si="70"/>
        <v>363646.04039617756</v>
      </c>
      <c r="P289">
        <f t="shared" si="70"/>
        <v>400272.26029219542</v>
      </c>
    </row>
    <row r="291" spans="2:20" x14ac:dyDescent="0.25">
      <c r="E291" t="s">
        <v>59</v>
      </c>
    </row>
    <row r="292" spans="2:20" x14ac:dyDescent="0.25">
      <c r="G292" s="25">
        <v>1</v>
      </c>
      <c r="H292" s="25">
        <v>2</v>
      </c>
      <c r="I292" s="25">
        <v>3</v>
      </c>
      <c r="J292" s="25">
        <v>4</v>
      </c>
      <c r="K292" s="25">
        <v>5</v>
      </c>
      <c r="L292" s="25">
        <v>6</v>
      </c>
      <c r="M292" s="25">
        <v>7</v>
      </c>
      <c r="N292" s="25">
        <v>8</v>
      </c>
      <c r="O292" s="25">
        <v>9</v>
      </c>
      <c r="P292" s="25">
        <v>10</v>
      </c>
    </row>
    <row r="293" spans="2:20" x14ac:dyDescent="0.25">
      <c r="G293">
        <f>$I281</f>
        <v>64815.779647798001</v>
      </c>
      <c r="H293">
        <f>G293*$L281</f>
        <v>89280.847839726877</v>
      </c>
      <c r="I293">
        <f t="shared" ref="I293" si="71">H293*$L281</f>
        <v>122980.38894686451</v>
      </c>
      <c r="J293">
        <f t="shared" ref="J293" si="72">I293*$L281</f>
        <v>169400.00494475974</v>
      </c>
      <c r="K293">
        <f t="shared" ref="K293" si="73">J293*$L281</f>
        <v>233340.95721296922</v>
      </c>
      <c r="L293">
        <f t="shared" ref="L293" si="74">K293*$L281</f>
        <v>321416.76932547835</v>
      </c>
      <c r="M293">
        <f t="shared" ref="M293" si="75">L293*$L281</f>
        <v>442737.2752625607</v>
      </c>
      <c r="N293">
        <f t="shared" ref="N293" si="76">M293*$L281</f>
        <v>609850.86533684621</v>
      </c>
      <c r="O293">
        <f t="shared" ref="O293" si="77">N293*$L281</f>
        <v>840042.38796369242</v>
      </c>
      <c r="P293">
        <f t="shared" ref="P293" si="78">O293*$L281</f>
        <v>1157120.9515066785</v>
      </c>
    </row>
    <row r="295" spans="2:20" ht="15.75" thickBot="1" x14ac:dyDescent="0.3">
      <c r="E295" t="s">
        <v>120</v>
      </c>
      <c r="G295" s="25">
        <v>1</v>
      </c>
      <c r="H295" s="25">
        <v>2</v>
      </c>
      <c r="I295" s="25">
        <v>3</v>
      </c>
      <c r="J295" s="25">
        <v>4</v>
      </c>
      <c r="K295" s="25">
        <v>5</v>
      </c>
      <c r="L295" s="25">
        <v>6</v>
      </c>
      <c r="M295" s="25">
        <v>7</v>
      </c>
      <c r="N295" s="25">
        <v>8</v>
      </c>
      <c r="O295" s="25">
        <v>9</v>
      </c>
      <c r="P295" s="25">
        <v>10</v>
      </c>
    </row>
    <row r="296" spans="2:20" ht="19.5" thickBot="1" x14ac:dyDescent="0.35">
      <c r="E296" s="35">
        <f>SUM(G296:P296)*ndec1_2023-1000000*O282</f>
        <v>0</v>
      </c>
      <c r="G296" s="38">
        <f>G285+G289+G293</f>
        <v>195538.61508361803</v>
      </c>
      <c r="H296" s="39">
        <f t="shared" ref="H296:P296" si="79">H285+H289+H293</f>
        <v>276658.75457415992</v>
      </c>
      <c r="I296" s="39">
        <f t="shared" si="79"/>
        <v>367013.36697991064</v>
      </c>
      <c r="J296" s="39">
        <f t="shared" si="79"/>
        <v>470088.05427641887</v>
      </c>
      <c r="K296" s="39">
        <f t="shared" si="79"/>
        <v>590684.07784324139</v>
      </c>
      <c r="L296" s="39">
        <f t="shared" si="79"/>
        <v>735414.96125436353</v>
      </c>
      <c r="M296" s="39">
        <f t="shared" si="79"/>
        <v>913390.53849005897</v>
      </c>
      <c r="N296" s="39">
        <f t="shared" si="79"/>
        <v>1137159.1998629575</v>
      </c>
      <c r="O296" s="39">
        <f t="shared" si="79"/>
        <v>1424005.7937884168</v>
      </c>
      <c r="P296" s="40">
        <f t="shared" si="79"/>
        <v>1797739.4286300158</v>
      </c>
      <c r="Q296" t="s">
        <v>184</v>
      </c>
      <c r="T296" s="55" t="s">
        <v>170</v>
      </c>
    </row>
    <row r="299" spans="2:20" ht="15.75" thickBot="1" x14ac:dyDescent="0.3"/>
    <row r="300" spans="2:20" ht="21.75" thickBot="1" x14ac:dyDescent="0.4">
      <c r="B300">
        <v>9</v>
      </c>
      <c r="C300" s="44">
        <v>2024</v>
      </c>
      <c r="E300" t="s">
        <v>55</v>
      </c>
      <c r="J300" t="s">
        <v>78</v>
      </c>
      <c r="M300" s="136">
        <f>INDEX('Прожит минимум'!$B$5:$P$5,1,B300)</f>
        <v>242707.95184876383</v>
      </c>
    </row>
    <row r="301" spans="2:20" x14ac:dyDescent="0.25">
      <c r="G301" t="s">
        <v>66</v>
      </c>
    </row>
    <row r="302" spans="2:20" ht="18.75" x14ac:dyDescent="0.3">
      <c r="E302" t="s">
        <v>194</v>
      </c>
      <c r="G302" s="31">
        <f>E315+E318+E325</f>
        <v>0</v>
      </c>
    </row>
    <row r="303" spans="2:20" ht="21.75" thickBot="1" x14ac:dyDescent="0.4">
      <c r="E303" t="s">
        <v>65</v>
      </c>
      <c r="G303" s="30">
        <f>P325/G325</f>
        <v>9.1262878704718524</v>
      </c>
      <c r="K303" t="s">
        <v>116</v>
      </c>
      <c r="O303" s="21" t="s">
        <v>67</v>
      </c>
    </row>
    <row r="304" spans="2:20" ht="15.75" thickBot="1" x14ac:dyDescent="0.3">
      <c r="E304" t="s">
        <v>57</v>
      </c>
      <c r="G304" s="29">
        <f>I304</f>
        <v>0.33333333333333343</v>
      </c>
      <c r="I304" s="36">
        <f>((1000000*INDEX(input2024,3)/(G310*ndec1_2024)-10)/45)</f>
        <v>0.33333333333333343</v>
      </c>
      <c r="K304" s="32">
        <f>INDEX(input2024,3)*1000000/(10*ndec1_2024)</f>
        <v>175241.64562947638</v>
      </c>
      <c r="L304" t="s">
        <v>63</v>
      </c>
      <c r="O304" s="35">
        <f>NNNdec1_2024/10</f>
        <v>94979.5</v>
      </c>
    </row>
    <row r="305" spans="5:18" ht="15.75" thickBot="1" x14ac:dyDescent="0.3">
      <c r="E305" t="s">
        <v>62</v>
      </c>
      <c r="G305" s="29">
        <f>I305</f>
        <v>0.5185185185185186</v>
      </c>
      <c r="I305" s="36">
        <f>(1000000*INDEX(input2024,1)/(H310*ndec1_2024)-10)/45</f>
        <v>0.5185185185185186</v>
      </c>
      <c r="K305" s="33">
        <f>INDEX(input2024,1)*1000000/(10*ndec1_2024)</f>
        <v>261804.7285020843</v>
      </c>
      <c r="L305" t="s">
        <v>64</v>
      </c>
    </row>
    <row r="306" spans="5:18" ht="15.75" thickBot="1" x14ac:dyDescent="0.3">
      <c r="E306" t="s">
        <v>60</v>
      </c>
      <c r="G306" s="29">
        <f>$L310</f>
        <v>1.3774554333045044</v>
      </c>
      <c r="K306" s="34">
        <f>(INDEX(input2024,2)+INDEX(input2024,4))*1000000/(10*ndec1_2024)</f>
        <v>451987.5506139124</v>
      </c>
      <c r="L306" t="s">
        <v>117</v>
      </c>
    </row>
    <row r="307" spans="5:18" ht="15.75" thickBot="1" x14ac:dyDescent="0.3">
      <c r="G307" s="25"/>
      <c r="H307" s="25"/>
      <c r="I307" s="25"/>
      <c r="J307" s="25"/>
      <c r="K307" s="25"/>
      <c r="L307" s="25"/>
      <c r="M307" s="25"/>
      <c r="N307" s="25"/>
      <c r="O307" s="25"/>
      <c r="P307" s="25"/>
    </row>
    <row r="308" spans="5:18" ht="15.75" thickBot="1" x14ac:dyDescent="0.3">
      <c r="G308" s="26"/>
      <c r="H308" s="27"/>
      <c r="I308" s="27"/>
      <c r="J308" s="27"/>
      <c r="K308" s="27"/>
      <c r="L308" s="27"/>
      <c r="M308" s="27"/>
      <c r="N308" s="27"/>
      <c r="O308" s="48"/>
      <c r="P308" s="48"/>
    </row>
    <row r="309" spans="5:18" ht="15.75" thickBot="1" x14ac:dyDescent="0.3">
      <c r="N309" t="s">
        <v>68</v>
      </c>
      <c r="O309" s="41">
        <f>INDEX(input2024,1)</f>
        <v>248660.82210763716</v>
      </c>
      <c r="P309" s="41">
        <f>INDEX(input2024,2)</f>
        <v>248660.82210763716</v>
      </c>
      <c r="Q309" s="41">
        <f>INDEX(input2024,3)</f>
        <v>166443.63881064852</v>
      </c>
      <c r="R309" s="41">
        <f>INDEX(input2024,4)</f>
        <v>180634.69352770381</v>
      </c>
    </row>
    <row r="310" spans="5:18" ht="15.75" thickBot="1" x14ac:dyDescent="0.3">
      <c r="E310" t="s">
        <v>118</v>
      </c>
      <c r="G310" s="45">
        <f>K304*G311</f>
        <v>70096.658251790548</v>
      </c>
      <c r="H310" s="45">
        <f>K305*H311</f>
        <v>78541.418550625283</v>
      </c>
      <c r="I310" s="37">
        <f>K306*I311</f>
        <v>72318.008098225982</v>
      </c>
      <c r="K310" t="s">
        <v>60</v>
      </c>
      <c r="L310" s="46">
        <v>1.3774554333045044</v>
      </c>
      <c r="N310" t="s">
        <v>121</v>
      </c>
      <c r="O310" s="49">
        <f>вход!J23*1000</f>
        <v>949795</v>
      </c>
    </row>
    <row r="311" spans="5:18" ht="15.75" thickBot="1" x14ac:dyDescent="0.3">
      <c r="E311" t="s">
        <v>119</v>
      </c>
      <c r="G311" s="24">
        <v>0.4</v>
      </c>
      <c r="H311" s="24">
        <v>0.3</v>
      </c>
      <c r="I311" s="24">
        <v>0.16</v>
      </c>
      <c r="N311" t="s">
        <v>69</v>
      </c>
      <c r="O311" s="47">
        <f>dohod2024</f>
        <v>844399.97655362659</v>
      </c>
    </row>
    <row r="312" spans="5:18" x14ac:dyDescent="0.25">
      <c r="E312" t="s">
        <v>58</v>
      </c>
    </row>
    <row r="313" spans="5:18" x14ac:dyDescent="0.25">
      <c r="G313" s="25">
        <v>1</v>
      </c>
      <c r="H313" s="25">
        <v>2</v>
      </c>
      <c r="I313" s="25">
        <v>3</v>
      </c>
      <c r="J313" s="25">
        <v>4</v>
      </c>
      <c r="K313" s="25">
        <v>5</v>
      </c>
      <c r="L313" s="25">
        <v>6</v>
      </c>
      <c r="M313" s="25">
        <v>7</v>
      </c>
      <c r="N313" s="25">
        <v>8</v>
      </c>
      <c r="O313" s="25">
        <v>9</v>
      </c>
      <c r="P313" s="25">
        <v>10</v>
      </c>
    </row>
    <row r="314" spans="5:18" ht="15.75" thickBot="1" x14ac:dyDescent="0.3">
      <c r="E314" t="s">
        <v>61</v>
      </c>
      <c r="G314">
        <f>$G310</f>
        <v>70096.658251790548</v>
      </c>
      <c r="H314">
        <f>$G310*(1+(H313-1)*$G304)</f>
        <v>93462.211002387412</v>
      </c>
      <c r="I314">
        <f t="shared" ref="I314:P314" si="80">$G310*(1+(I313-1)*$G304)</f>
        <v>116827.76375298426</v>
      </c>
      <c r="J314">
        <f t="shared" si="80"/>
        <v>140193.3165035811</v>
      </c>
      <c r="K314">
        <f t="shared" si="80"/>
        <v>163558.86925417799</v>
      </c>
      <c r="L314">
        <f t="shared" si="80"/>
        <v>186924.42200477482</v>
      </c>
      <c r="M314">
        <f t="shared" si="80"/>
        <v>210289.97475537169</v>
      </c>
      <c r="N314">
        <f t="shared" si="80"/>
        <v>233655.52750596852</v>
      </c>
      <c r="O314">
        <f t="shared" si="80"/>
        <v>257021.08025656539</v>
      </c>
      <c r="P314">
        <f t="shared" si="80"/>
        <v>280386.63300716225</v>
      </c>
    </row>
    <row r="315" spans="5:18" ht="15.75" thickBot="1" x14ac:dyDescent="0.3">
      <c r="E315" s="28">
        <f>SUM(G314:P314)-10000000*$Q309/NNNdec1_2024</f>
        <v>0</v>
      </c>
    </row>
    <row r="316" spans="5:18" x14ac:dyDescent="0.25">
      <c r="E316" t="s">
        <v>133</v>
      </c>
    </row>
    <row r="317" spans="5:18" ht="15.75" thickBot="1" x14ac:dyDescent="0.3">
      <c r="E317" t="s">
        <v>61</v>
      </c>
      <c r="G317" s="25">
        <v>1</v>
      </c>
      <c r="H317" s="25">
        <v>2</v>
      </c>
      <c r="I317" s="25">
        <v>3</v>
      </c>
      <c r="J317" s="25">
        <v>4</v>
      </c>
      <c r="K317" s="25">
        <v>5</v>
      </c>
      <c r="L317" s="25">
        <v>6</v>
      </c>
      <c r="M317" s="25">
        <v>7</v>
      </c>
      <c r="N317" s="25">
        <v>8</v>
      </c>
      <c r="O317" s="25">
        <v>9</v>
      </c>
      <c r="P317" s="25">
        <v>10</v>
      </c>
    </row>
    <row r="318" spans="5:18" ht="15.75" thickBot="1" x14ac:dyDescent="0.3">
      <c r="E318" s="28">
        <f>SUM(G318:P318)-10000000*$O309/NNNdec1_2024</f>
        <v>0</v>
      </c>
      <c r="G318">
        <f>$H310</f>
        <v>78541.418550625283</v>
      </c>
      <c r="H318">
        <f>$H310*(1+(H317-1)*$G305)</f>
        <v>119266.59853983839</v>
      </c>
      <c r="I318">
        <f t="shared" ref="I318:P318" si="81">$H310*(1+(I317-1)*$G305)</f>
        <v>159991.77852905152</v>
      </c>
      <c r="J318">
        <f t="shared" si="81"/>
        <v>200716.95851826464</v>
      </c>
      <c r="K318">
        <f t="shared" si="81"/>
        <v>241442.13850747774</v>
      </c>
      <c r="L318">
        <f t="shared" si="81"/>
        <v>282167.31849669089</v>
      </c>
      <c r="M318">
        <f t="shared" si="81"/>
        <v>322892.49848590395</v>
      </c>
      <c r="N318">
        <f t="shared" si="81"/>
        <v>363617.67847511708</v>
      </c>
      <c r="O318">
        <f t="shared" si="81"/>
        <v>404342.8584643302</v>
      </c>
      <c r="P318">
        <f t="shared" si="81"/>
        <v>445068.03845354338</v>
      </c>
    </row>
    <row r="320" spans="5:18" x14ac:dyDescent="0.25">
      <c r="E320" t="s">
        <v>59</v>
      </c>
    </row>
    <row r="321" spans="2:20" x14ac:dyDescent="0.25">
      <c r="G321" s="25">
        <v>1</v>
      </c>
      <c r="H321" s="25">
        <v>2</v>
      </c>
      <c r="I321" s="25">
        <v>3</v>
      </c>
      <c r="J321" s="25">
        <v>4</v>
      </c>
      <c r="K321" s="25">
        <v>5</v>
      </c>
      <c r="L321" s="25">
        <v>6</v>
      </c>
      <c r="M321" s="25">
        <v>7</v>
      </c>
      <c r="N321" s="25">
        <v>8</v>
      </c>
      <c r="O321" s="25">
        <v>9</v>
      </c>
      <c r="P321" s="25">
        <v>10</v>
      </c>
    </row>
    <row r="322" spans="2:20" x14ac:dyDescent="0.25">
      <c r="G322">
        <f>$I310</f>
        <v>72318.008098225982</v>
      </c>
      <c r="H322">
        <f>G322*$L310</f>
        <v>99614.833180660527</v>
      </c>
      <c r="I322">
        <f t="shared" ref="I322" si="82">H322*$L310</f>
        <v>137214.99320242266</v>
      </c>
      <c r="J322">
        <f t="shared" ref="J322" si="83">I322*$L310</f>
        <v>189007.53791751774</v>
      </c>
      <c r="K322">
        <f t="shared" ref="K322" si="84">J322*$L310</f>
        <v>260349.46003999194</v>
      </c>
      <c r="L322">
        <f t="shared" ref="L322" si="85">K322*$L310</f>
        <v>358619.77828998084</v>
      </c>
      <c r="M322">
        <f t="shared" ref="M322" si="86">L322*$L310</f>
        <v>493982.76209599082</v>
      </c>
      <c r="N322">
        <f t="shared" ref="N322" si="87">M322*$L310</f>
        <v>680439.23960788897</v>
      </c>
      <c r="O322">
        <f t="shared" ref="O322" si="88">N322*$L310</f>
        <v>937274.72763147217</v>
      </c>
      <c r="P322">
        <f t="shared" ref="P322" si="89">O322*$L310</f>
        <v>1291054.1660749707</v>
      </c>
    </row>
    <row r="324" spans="2:20" ht="15.75" thickBot="1" x14ac:dyDescent="0.3">
      <c r="E324" t="s">
        <v>120</v>
      </c>
      <c r="G324" s="25">
        <v>1</v>
      </c>
      <c r="H324" s="25">
        <v>2</v>
      </c>
      <c r="I324" s="25">
        <v>3</v>
      </c>
      <c r="J324" s="25">
        <v>4</v>
      </c>
      <c r="K324" s="25">
        <v>5</v>
      </c>
      <c r="L324" s="25">
        <v>6</v>
      </c>
      <c r="M324" s="25">
        <v>7</v>
      </c>
      <c r="N324" s="25">
        <v>8</v>
      </c>
      <c r="O324" s="25">
        <v>9</v>
      </c>
      <c r="P324" s="25">
        <v>10</v>
      </c>
    </row>
    <row r="325" spans="2:20" ht="19.5" thickBot="1" x14ac:dyDescent="0.35">
      <c r="E325" s="35">
        <f>SUM(G325:P325)*ndec1_2024-1000000*O311</f>
        <v>0</v>
      </c>
      <c r="G325" s="38">
        <f>G314+G318+G322</f>
        <v>220956.08490064181</v>
      </c>
      <c r="H325" s="39">
        <f t="shared" ref="H325:P325" si="90">H314+H318+H322</f>
        <v>312343.64272288629</v>
      </c>
      <c r="I325" s="39">
        <f t="shared" si="90"/>
        <v>414034.53548445844</v>
      </c>
      <c r="J325" s="39">
        <f t="shared" si="90"/>
        <v>529917.81293936342</v>
      </c>
      <c r="K325" s="39">
        <f t="shared" si="90"/>
        <v>665350.46780164773</v>
      </c>
      <c r="L325" s="39">
        <f t="shared" si="90"/>
        <v>827711.51879144658</v>
      </c>
      <c r="M325" s="39">
        <f t="shared" si="90"/>
        <v>1027165.2353372665</v>
      </c>
      <c r="N325" s="39">
        <f t="shared" si="90"/>
        <v>1277712.4455889745</v>
      </c>
      <c r="O325" s="39">
        <f t="shared" si="90"/>
        <v>1598638.6663523677</v>
      </c>
      <c r="P325" s="40">
        <f t="shared" si="90"/>
        <v>2016508.8375356763</v>
      </c>
      <c r="Q325" t="s">
        <v>185</v>
      </c>
      <c r="T325" s="55" t="s">
        <v>169</v>
      </c>
    </row>
    <row r="328" spans="2:20" ht="15.75" thickBot="1" x14ac:dyDescent="0.3"/>
    <row r="329" spans="2:20" ht="21.75" thickBot="1" x14ac:dyDescent="0.4">
      <c r="B329">
        <v>10</v>
      </c>
      <c r="C329" s="44">
        <v>2025</v>
      </c>
      <c r="E329" t="s">
        <v>55</v>
      </c>
      <c r="J329" t="s">
        <v>78</v>
      </c>
      <c r="M329" s="136">
        <f>INDEX('Прожит минимум'!$B$5:$P$5,1,B329)</f>
        <v>264551.6675151526</v>
      </c>
    </row>
    <row r="330" spans="2:20" x14ac:dyDescent="0.25">
      <c r="G330" t="s">
        <v>66</v>
      </c>
    </row>
    <row r="331" spans="2:20" ht="18.75" x14ac:dyDescent="0.3">
      <c r="E331" t="s">
        <v>195</v>
      </c>
      <c r="G331" s="31">
        <f>E344+E347+E354</f>
        <v>0</v>
      </c>
    </row>
    <row r="332" spans="2:20" ht="21.75" thickBot="1" x14ac:dyDescent="0.4">
      <c r="E332" t="s">
        <v>65</v>
      </c>
      <c r="G332" s="30">
        <f>P354/G354</f>
        <v>9.0493254470444455</v>
      </c>
      <c r="K332" t="s">
        <v>116</v>
      </c>
      <c r="O332" s="21" t="s">
        <v>67</v>
      </c>
    </row>
    <row r="333" spans="2:20" ht="15.75" thickBot="1" x14ac:dyDescent="0.3">
      <c r="E333" t="s">
        <v>57</v>
      </c>
      <c r="G333" s="29">
        <f>I333</f>
        <v>0.33333333333333326</v>
      </c>
      <c r="I333" s="36">
        <f>((1000000*INDEX(input2025,3)/(G339*ndec1_2025)-10)/45)</f>
        <v>0.33333333333333326</v>
      </c>
      <c r="K333" s="32">
        <f>INDEX(input2025,3)*1000000/(10*ndec1_2025)</f>
        <v>203993.25852379703</v>
      </c>
      <c r="L333" t="s">
        <v>63</v>
      </c>
      <c r="O333" s="35">
        <f>NNNdec1_2025/10</f>
        <v>93162.3</v>
      </c>
    </row>
    <row r="334" spans="2:20" ht="15.75" thickBot="1" x14ac:dyDescent="0.3">
      <c r="E334" t="s">
        <v>62</v>
      </c>
      <c r="G334" s="29">
        <f>I334</f>
        <v>0.5185185185185186</v>
      </c>
      <c r="I334" s="36">
        <f>(1000000*INDEX(input2025,1)/(H339*ndec1_2025)-10)/45</f>
        <v>0.5185185185185186</v>
      </c>
      <c r="K334" s="33">
        <f>INDEX(input2025,1)*1000000/(10*ndec1_2025)</f>
        <v>290408.30457151408</v>
      </c>
      <c r="L334" t="s">
        <v>64</v>
      </c>
    </row>
    <row r="335" spans="2:20" ht="15.75" thickBot="1" x14ac:dyDescent="0.3">
      <c r="E335" t="s">
        <v>60</v>
      </c>
      <c r="G335" s="29">
        <f>$L339</f>
        <v>1.3774554333045044</v>
      </c>
      <c r="K335" s="34">
        <f>(INDEX(input2025,2)+INDEX(input2025,4))*1000000/(10*ndec1_2025)</f>
        <v>501751.10734173033</v>
      </c>
      <c r="L335" t="s">
        <v>117</v>
      </c>
    </row>
    <row r="336" spans="2:20" ht="15.75" thickBot="1" x14ac:dyDescent="0.3">
      <c r="G336" s="25"/>
      <c r="H336" s="25"/>
      <c r="I336" s="25"/>
      <c r="J336" s="25"/>
      <c r="K336" s="25"/>
      <c r="L336" s="25"/>
      <c r="M336" s="25"/>
      <c r="N336" s="25"/>
      <c r="O336" s="25"/>
      <c r="P336" s="25"/>
    </row>
    <row r="337" spans="5:18" ht="15.75" thickBot="1" x14ac:dyDescent="0.3">
      <c r="G337" s="26"/>
      <c r="H337" s="27"/>
      <c r="I337" s="27"/>
      <c r="J337" s="27"/>
      <c r="K337" s="27"/>
      <c r="L337" s="27"/>
      <c r="M337" s="27"/>
      <c r="N337" s="27"/>
      <c r="O337" s="48"/>
      <c r="P337" s="48"/>
    </row>
    <row r="338" spans="5:18" ht="15.75" thickBot="1" x14ac:dyDescent="0.3">
      <c r="N338" t="s">
        <v>68</v>
      </c>
      <c r="O338" s="41">
        <f>INDEX(input2025,1)</f>
        <v>270551.05592982768</v>
      </c>
      <c r="P338" s="41">
        <f>INDEX(input2025,2)</f>
        <v>270551.05592982768</v>
      </c>
      <c r="Q338" s="41">
        <f>INDEX(input2025,3)</f>
        <v>190044.81148571536</v>
      </c>
      <c r="R338" s="41">
        <f>INDEX(input2025,4)</f>
        <v>196891.81594519719</v>
      </c>
    </row>
    <row r="339" spans="5:18" ht="15.75" thickBot="1" x14ac:dyDescent="0.3">
      <c r="E339" t="s">
        <v>118</v>
      </c>
      <c r="G339" s="45">
        <f>K333*G340</f>
        <v>81597.30340951882</v>
      </c>
      <c r="H339" s="45">
        <f>K334*H340</f>
        <v>87122.49137145422</v>
      </c>
      <c r="I339" s="37">
        <f>K335*I340</f>
        <v>80280.17717467685</v>
      </c>
      <c r="K339" t="s">
        <v>60</v>
      </c>
      <c r="L339" s="46">
        <v>1.3774554333045044</v>
      </c>
      <c r="N339" t="s">
        <v>121</v>
      </c>
      <c r="O339" s="49">
        <f>вход!K23*1000</f>
        <v>931623</v>
      </c>
    </row>
    <row r="340" spans="5:18" ht="15.75" thickBot="1" x14ac:dyDescent="0.3">
      <c r="E340" t="s">
        <v>119</v>
      </c>
      <c r="G340" s="24">
        <v>0.4</v>
      </c>
      <c r="H340" s="24">
        <v>0.3</v>
      </c>
      <c r="I340" s="24">
        <v>0.16</v>
      </c>
      <c r="N340" t="s">
        <v>69</v>
      </c>
      <c r="O340" s="47">
        <f>dohod2025</f>
        <v>928038.73929056781</v>
      </c>
    </row>
    <row r="341" spans="5:18" x14ac:dyDescent="0.25">
      <c r="E341" t="s">
        <v>58</v>
      </c>
    </row>
    <row r="342" spans="5:18" x14ac:dyDescent="0.25">
      <c r="G342" s="25">
        <v>1</v>
      </c>
      <c r="H342" s="25">
        <v>2</v>
      </c>
      <c r="I342" s="25">
        <v>3</v>
      </c>
      <c r="J342" s="25">
        <v>4</v>
      </c>
      <c r="K342" s="25">
        <v>5</v>
      </c>
      <c r="L342" s="25">
        <v>6</v>
      </c>
      <c r="M342" s="25">
        <v>7</v>
      </c>
      <c r="N342" s="25">
        <v>8</v>
      </c>
      <c r="O342" s="25">
        <v>9</v>
      </c>
      <c r="P342" s="25">
        <v>10</v>
      </c>
    </row>
    <row r="343" spans="5:18" ht="15.75" thickBot="1" x14ac:dyDescent="0.3">
      <c r="E343" t="s">
        <v>61</v>
      </c>
      <c r="G343">
        <f>$G339</f>
        <v>81597.30340951882</v>
      </c>
      <c r="H343">
        <f>$G339*(1+(H342-1)*$G333)</f>
        <v>108796.40454602509</v>
      </c>
      <c r="I343">
        <f t="shared" ref="I343:P343" si="91">$G339*(1+(I342-1)*$G333)</f>
        <v>135995.50568253137</v>
      </c>
      <c r="J343">
        <f t="shared" si="91"/>
        <v>163194.60681903761</v>
      </c>
      <c r="K343">
        <f t="shared" si="91"/>
        <v>190393.70795554388</v>
      </c>
      <c r="L343">
        <f t="shared" si="91"/>
        <v>217592.80909205013</v>
      </c>
      <c r="M343">
        <f t="shared" si="91"/>
        <v>244791.91022855643</v>
      </c>
      <c r="N343">
        <f t="shared" si="91"/>
        <v>271991.01136506273</v>
      </c>
      <c r="O343">
        <f t="shared" si="91"/>
        <v>299190.11250156898</v>
      </c>
      <c r="P343">
        <f t="shared" si="91"/>
        <v>326389.21363807522</v>
      </c>
    </row>
    <row r="344" spans="5:18" ht="15.75" thickBot="1" x14ac:dyDescent="0.3">
      <c r="E344" s="28">
        <f>SUM(G343:P343)-10000000*$Q338/NNNdec1_2025</f>
        <v>0</v>
      </c>
    </row>
    <row r="345" spans="5:18" x14ac:dyDescent="0.25">
      <c r="E345" t="s">
        <v>133</v>
      </c>
    </row>
    <row r="346" spans="5:18" ht="15.75" thickBot="1" x14ac:dyDescent="0.3">
      <c r="E346" t="s">
        <v>61</v>
      </c>
      <c r="G346" s="25">
        <v>1</v>
      </c>
      <c r="H346" s="25">
        <v>2</v>
      </c>
      <c r="I346" s="25">
        <v>3</v>
      </c>
      <c r="J346" s="25">
        <v>4</v>
      </c>
      <c r="K346" s="25">
        <v>5</v>
      </c>
      <c r="L346" s="25">
        <v>6</v>
      </c>
      <c r="M346" s="25">
        <v>7</v>
      </c>
      <c r="N346" s="25">
        <v>8</v>
      </c>
      <c r="O346" s="25">
        <v>9</v>
      </c>
      <c r="P346" s="25">
        <v>10</v>
      </c>
    </row>
    <row r="347" spans="5:18" ht="15.75" thickBot="1" x14ac:dyDescent="0.3">
      <c r="E347" s="28">
        <f>SUM(G347:P347)-10000000*$O338/NNNdec1_2025</f>
        <v>0</v>
      </c>
      <c r="G347">
        <f>$H339</f>
        <v>87122.49137145422</v>
      </c>
      <c r="H347">
        <f>$H339*(1+(H346-1)*$G334)</f>
        <v>132297.11652702308</v>
      </c>
      <c r="I347">
        <f t="shared" ref="I347:P347" si="92">$H339*(1+(I346-1)*$G334)</f>
        <v>177471.74168259194</v>
      </c>
      <c r="J347">
        <f t="shared" si="92"/>
        <v>222646.36683816081</v>
      </c>
      <c r="K347">
        <f t="shared" si="92"/>
        <v>267820.99199372967</v>
      </c>
      <c r="L347">
        <f t="shared" si="92"/>
        <v>312995.61714929854</v>
      </c>
      <c r="M347">
        <f t="shared" si="92"/>
        <v>358170.24230486737</v>
      </c>
      <c r="N347">
        <f t="shared" si="92"/>
        <v>403344.86746043619</v>
      </c>
      <c r="O347">
        <f t="shared" si="92"/>
        <v>448519.49261600513</v>
      </c>
      <c r="P347">
        <f t="shared" si="92"/>
        <v>493694.11777157401</v>
      </c>
    </row>
    <row r="349" spans="5:18" x14ac:dyDescent="0.25">
      <c r="E349" t="s">
        <v>59</v>
      </c>
    </row>
    <row r="350" spans="5:18" x14ac:dyDescent="0.25">
      <c r="G350" s="25">
        <v>1</v>
      </c>
      <c r="H350" s="25">
        <v>2</v>
      </c>
      <c r="I350" s="25">
        <v>3</v>
      </c>
      <c r="J350" s="25">
        <v>4</v>
      </c>
      <c r="K350" s="25">
        <v>5</v>
      </c>
      <c r="L350" s="25">
        <v>6</v>
      </c>
      <c r="M350" s="25">
        <v>7</v>
      </c>
      <c r="N350" s="25">
        <v>8</v>
      </c>
      <c r="O350" s="25">
        <v>9</v>
      </c>
      <c r="P350" s="25">
        <v>10</v>
      </c>
    </row>
    <row r="351" spans="5:18" x14ac:dyDescent="0.25">
      <c r="G351">
        <f>$I339</f>
        <v>80280.17717467685</v>
      </c>
      <c r="H351">
        <f>G351*$L339</f>
        <v>110582.36623590688</v>
      </c>
      <c r="I351">
        <f t="shared" ref="I351" si="93">H351*$L339</f>
        <v>152322.2811993185</v>
      </c>
      <c r="J351">
        <f t="shared" ref="J351" si="94">I351*$L339</f>
        <v>209817.15385133782</v>
      </c>
      <c r="K351">
        <f t="shared" ref="K351" si="95">J351*$L339</f>
        <v>289013.77857301239</v>
      </c>
      <c r="L351">
        <f t="shared" ref="L351" si="96">K351*$L339</f>
        <v>398103.59959526086</v>
      </c>
      <c r="M351">
        <f t="shared" ref="M351" si="97">L351*$L339</f>
        <v>548369.96628057293</v>
      </c>
      <c r="N351">
        <f t="shared" ref="N351" si="98">M351*$L339</f>
        <v>755355.18951418309</v>
      </c>
      <c r="O351">
        <f t="shared" ref="O351" si="99">N351*$L339</f>
        <v>1040468.1098710651</v>
      </c>
      <c r="P351">
        <f t="shared" ref="P351" si="100">O351*$L339</f>
        <v>1433198.4511219666</v>
      </c>
    </row>
    <row r="353" spans="2:20" ht="15.75" thickBot="1" x14ac:dyDescent="0.3">
      <c r="E353" t="s">
        <v>120</v>
      </c>
      <c r="G353" s="25">
        <v>1</v>
      </c>
      <c r="H353" s="25">
        <v>2</v>
      </c>
      <c r="I353" s="25">
        <v>3</v>
      </c>
      <c r="J353" s="25">
        <v>4</v>
      </c>
      <c r="K353" s="25">
        <v>5</v>
      </c>
      <c r="L353" s="25">
        <v>6</v>
      </c>
      <c r="M353" s="25">
        <v>7</v>
      </c>
      <c r="N353" s="25">
        <v>8</v>
      </c>
      <c r="O353" s="25">
        <v>9</v>
      </c>
      <c r="P353" s="25">
        <v>10</v>
      </c>
    </row>
    <row r="354" spans="2:20" ht="19.5" thickBot="1" x14ac:dyDescent="0.35">
      <c r="E354" s="35">
        <f>SUM(G354:P354)*ndec1_2025-1000000*O340</f>
        <v>0</v>
      </c>
      <c r="G354" s="38">
        <f>G343+G347+G351</f>
        <v>248999.9719556499</v>
      </c>
      <c r="H354" s="39">
        <f t="shared" ref="H354:P354" si="101">H343+H347+H351</f>
        <v>351675.88730895508</v>
      </c>
      <c r="I354" s="39">
        <f t="shared" si="101"/>
        <v>465789.52856444183</v>
      </c>
      <c r="J354" s="39">
        <f t="shared" si="101"/>
        <v>595658.12750853621</v>
      </c>
      <c r="K354" s="39">
        <f t="shared" si="101"/>
        <v>747228.47852228594</v>
      </c>
      <c r="L354" s="39">
        <f t="shared" si="101"/>
        <v>928692.02583660954</v>
      </c>
      <c r="M354" s="39">
        <f t="shared" si="101"/>
        <v>1151332.1188139967</v>
      </c>
      <c r="N354" s="39">
        <f t="shared" si="101"/>
        <v>1430691.0683396822</v>
      </c>
      <c r="O354" s="39">
        <f t="shared" si="101"/>
        <v>1788177.7149886391</v>
      </c>
      <c r="P354" s="40">
        <f t="shared" si="101"/>
        <v>2253281.7825316158</v>
      </c>
      <c r="Q354" t="s">
        <v>74</v>
      </c>
      <c r="T354" s="55" t="s">
        <v>168</v>
      </c>
    </row>
    <row r="357" spans="2:20" ht="15.75" thickBot="1" x14ac:dyDescent="0.3"/>
    <row r="358" spans="2:20" ht="21.75" thickBot="1" x14ac:dyDescent="0.4">
      <c r="B358">
        <v>11</v>
      </c>
      <c r="C358" s="44">
        <v>2026</v>
      </c>
      <c r="E358" t="s">
        <v>55</v>
      </c>
      <c r="J358" t="s">
        <v>78</v>
      </c>
      <c r="M358" s="136">
        <f>INDEX('Прожит минимум'!$B$5:$P$5,1,B358)</f>
        <v>286562.36625241325</v>
      </c>
    </row>
    <row r="359" spans="2:20" x14ac:dyDescent="0.25">
      <c r="G359" t="s">
        <v>66</v>
      </c>
    </row>
    <row r="360" spans="2:20" ht="18.75" x14ac:dyDescent="0.3">
      <c r="E360" t="s">
        <v>196</v>
      </c>
      <c r="G360" s="31">
        <f>E373+E376+E383</f>
        <v>0</v>
      </c>
    </row>
    <row r="361" spans="2:20" ht="21.75" thickBot="1" x14ac:dyDescent="0.4">
      <c r="E361" t="s">
        <v>65</v>
      </c>
      <c r="G361" s="30">
        <f>P383/G383</f>
        <v>8.9642172733387149</v>
      </c>
      <c r="K361" t="s">
        <v>116</v>
      </c>
      <c r="O361" s="21" t="s">
        <v>67</v>
      </c>
    </row>
    <row r="362" spans="2:20" ht="15.75" thickBot="1" x14ac:dyDescent="0.3">
      <c r="E362" t="s">
        <v>57</v>
      </c>
      <c r="G362" s="29">
        <f>I362</f>
        <v>0.33333333333333331</v>
      </c>
      <c r="I362" s="36">
        <f>((1000000*INDEX(input2026,3)/(G368*ndec1_2026)-10)/45)</f>
        <v>0.33333333333333331</v>
      </c>
      <c r="K362" s="32">
        <f>INDEX(input2026,3)*1000000/(10*ndec1_2026)</f>
        <v>235714.54545457964</v>
      </c>
      <c r="L362" t="s">
        <v>63</v>
      </c>
      <c r="O362" s="76">
        <f>NNNdec1_2026/10</f>
        <v>92000</v>
      </c>
    </row>
    <row r="363" spans="2:20" ht="15.75" thickBot="1" x14ac:dyDescent="0.3">
      <c r="E363" t="s">
        <v>62</v>
      </c>
      <c r="G363" s="29">
        <f>I363</f>
        <v>0.51851851851851838</v>
      </c>
      <c r="I363" s="36">
        <f>(1000000*INDEX(input2026,1)/(H368*ndec1_2026)-10)/45</f>
        <v>0.51851851851851838</v>
      </c>
      <c r="K363" s="33">
        <f>INDEX(input2026,1)*1000000/(10*ndec1_2026)</f>
        <v>319696.39056996966</v>
      </c>
      <c r="L363" t="s">
        <v>64</v>
      </c>
    </row>
    <row r="364" spans="2:20" ht="15.75" thickBot="1" x14ac:dyDescent="0.3">
      <c r="E364" t="s">
        <v>60</v>
      </c>
      <c r="G364" s="29">
        <f>$L368</f>
        <v>1.3774554333045044</v>
      </c>
      <c r="K364" s="34">
        <f>(INDEX(input2026,2)+INDEX(input2026,4))*1000000/(10*ndec1_2026)</f>
        <v>551515.10256109748</v>
      </c>
      <c r="L364" t="s">
        <v>117</v>
      </c>
    </row>
    <row r="365" spans="2:20" ht="15.75" thickBot="1" x14ac:dyDescent="0.3">
      <c r="G365" s="25"/>
      <c r="H365" s="25"/>
      <c r="I365" s="25"/>
      <c r="J365" s="25"/>
      <c r="K365" s="25"/>
      <c r="L365" s="25"/>
      <c r="M365" s="25"/>
      <c r="N365" s="25"/>
      <c r="O365" s="25"/>
      <c r="P365" s="25"/>
    </row>
    <row r="366" spans="2:20" ht="15.75" thickBot="1" x14ac:dyDescent="0.3">
      <c r="G366" s="26"/>
      <c r="H366" s="27"/>
      <c r="I366" s="27"/>
      <c r="J366" s="27"/>
      <c r="K366" s="27"/>
      <c r="L366" s="27"/>
      <c r="M366" s="27"/>
      <c r="N366" s="27"/>
      <c r="O366" s="48"/>
      <c r="P366" s="48"/>
    </row>
    <row r="367" spans="2:20" ht="15.75" thickBot="1" x14ac:dyDescent="0.3">
      <c r="N367" t="s">
        <v>68</v>
      </c>
      <c r="O367" s="41">
        <f>INDEX(input2026,1)</f>
        <v>294120.67932437209</v>
      </c>
      <c r="P367" s="41">
        <f>INDEX(input2026,2)</f>
        <v>294120.67932437209</v>
      </c>
      <c r="Q367" s="41">
        <f>INDEX(input2026,3)</f>
        <v>216857.38181821327</v>
      </c>
      <c r="R367" s="41">
        <f>INDEX(input2026,4)</f>
        <v>213273.21503183755</v>
      </c>
    </row>
    <row r="368" spans="2:20" ht="15.75" thickBot="1" x14ac:dyDescent="0.3">
      <c r="E368" t="s">
        <v>118</v>
      </c>
      <c r="G368" s="45">
        <f>K362*G369</f>
        <v>94285.818181831855</v>
      </c>
      <c r="H368" s="45">
        <f>K363*H369</f>
        <v>95908.917170990899</v>
      </c>
      <c r="I368" s="37">
        <f>K364*I369</f>
        <v>88242.4164097756</v>
      </c>
      <c r="K368" t="s">
        <v>60</v>
      </c>
      <c r="L368" s="46">
        <v>1.3774554333045044</v>
      </c>
      <c r="N368" t="s">
        <v>121</v>
      </c>
      <c r="O368" s="76">
        <f>вход!L23*1000</f>
        <v>920000</v>
      </c>
    </row>
    <row r="369" spans="5:20" ht="15.75" thickBot="1" x14ac:dyDescent="0.3">
      <c r="E369" t="s">
        <v>119</v>
      </c>
      <c r="G369" s="24">
        <v>0.4</v>
      </c>
      <c r="H369" s="24">
        <v>0.3</v>
      </c>
      <c r="I369" s="24">
        <v>0.16</v>
      </c>
      <c r="N369" t="s">
        <v>69</v>
      </c>
      <c r="O369" s="47">
        <f>dohod2026</f>
        <v>1018371.955498795</v>
      </c>
    </row>
    <row r="370" spans="5:20" x14ac:dyDescent="0.25">
      <c r="E370" t="s">
        <v>58</v>
      </c>
    </row>
    <row r="371" spans="5:20" x14ac:dyDescent="0.25">
      <c r="G371" s="25">
        <v>1</v>
      </c>
      <c r="H371" s="25">
        <v>2</v>
      </c>
      <c r="I371" s="25">
        <v>3</v>
      </c>
      <c r="J371" s="25">
        <v>4</v>
      </c>
      <c r="K371" s="25">
        <v>5</v>
      </c>
      <c r="L371" s="25">
        <v>6</v>
      </c>
      <c r="M371" s="25">
        <v>7</v>
      </c>
      <c r="N371" s="25">
        <v>8</v>
      </c>
      <c r="O371" s="25">
        <v>9</v>
      </c>
      <c r="P371" s="25">
        <v>10</v>
      </c>
    </row>
    <row r="372" spans="5:20" ht="15.75" thickBot="1" x14ac:dyDescent="0.3">
      <c r="E372" t="s">
        <v>61</v>
      </c>
      <c r="G372">
        <f>$G368</f>
        <v>94285.818181831855</v>
      </c>
      <c r="H372">
        <f>$G368*(1+(H371-1)*$G362)</f>
        <v>125714.42424244247</v>
      </c>
      <c r="I372">
        <f t="shared" ref="I372:P372" si="102">$G368*(1+(I371-1)*$G362)</f>
        <v>157143.03030305309</v>
      </c>
      <c r="J372">
        <f t="shared" si="102"/>
        <v>188571.63636366371</v>
      </c>
      <c r="K372">
        <f t="shared" si="102"/>
        <v>220000.2424242743</v>
      </c>
      <c r="L372">
        <f t="shared" si="102"/>
        <v>251428.84848488495</v>
      </c>
      <c r="M372">
        <f t="shared" si="102"/>
        <v>282857.45454549557</v>
      </c>
      <c r="N372">
        <f t="shared" si="102"/>
        <v>314286.06060610618</v>
      </c>
      <c r="O372">
        <f t="shared" si="102"/>
        <v>345714.6666667168</v>
      </c>
      <c r="P372">
        <f t="shared" si="102"/>
        <v>377143.27272732742</v>
      </c>
    </row>
    <row r="373" spans="5:20" ht="15.75" thickBot="1" x14ac:dyDescent="0.3">
      <c r="E373" s="28">
        <f>SUM(G372:P372)-10000000*$Q367/NNNdec1_2026</f>
        <v>0</v>
      </c>
    </row>
    <row r="374" spans="5:20" x14ac:dyDescent="0.25">
      <c r="E374" t="s">
        <v>133</v>
      </c>
    </row>
    <row r="375" spans="5:20" ht="15.75" thickBot="1" x14ac:dyDescent="0.3">
      <c r="E375" t="s">
        <v>61</v>
      </c>
      <c r="G375" s="25">
        <v>1</v>
      </c>
      <c r="H375" s="25">
        <v>2</v>
      </c>
      <c r="I375" s="25">
        <v>3</v>
      </c>
      <c r="J375" s="25">
        <v>4</v>
      </c>
      <c r="K375" s="25">
        <v>5</v>
      </c>
      <c r="L375" s="25">
        <v>6</v>
      </c>
      <c r="M375" s="25">
        <v>7</v>
      </c>
      <c r="N375" s="25">
        <v>8</v>
      </c>
      <c r="O375" s="25">
        <v>9</v>
      </c>
      <c r="P375" s="25">
        <v>10</v>
      </c>
    </row>
    <row r="376" spans="5:20" ht="15.75" thickBot="1" x14ac:dyDescent="0.3">
      <c r="E376" s="28">
        <f>SUM(G376:P376)-10000000*$O367/NNNdec1_2026</f>
        <v>0</v>
      </c>
      <c r="G376">
        <f>$H368</f>
        <v>95908.917170990899</v>
      </c>
      <c r="H376">
        <f>$H368*(1+(H375-1)*$G363)</f>
        <v>145639.46681520838</v>
      </c>
      <c r="I376">
        <f t="shared" ref="I376:P376" si="103">$H368*(1+(I375-1)*$G363)</f>
        <v>195370.01645942588</v>
      </c>
      <c r="J376">
        <f t="shared" si="103"/>
        <v>245100.56610364339</v>
      </c>
      <c r="K376">
        <f t="shared" si="103"/>
        <v>294831.11574786087</v>
      </c>
      <c r="L376">
        <f t="shared" si="103"/>
        <v>344561.66539207834</v>
      </c>
      <c r="M376">
        <f t="shared" si="103"/>
        <v>394292.21503629588</v>
      </c>
      <c r="N376">
        <f t="shared" si="103"/>
        <v>444022.76468051336</v>
      </c>
      <c r="O376">
        <f t="shared" si="103"/>
        <v>493753.31432473083</v>
      </c>
      <c r="P376">
        <f t="shared" si="103"/>
        <v>543483.86396894825</v>
      </c>
    </row>
    <row r="378" spans="5:20" x14ac:dyDescent="0.25">
      <c r="E378" t="s">
        <v>59</v>
      </c>
    </row>
    <row r="379" spans="5:20" x14ac:dyDescent="0.25">
      <c r="G379" s="25">
        <v>1</v>
      </c>
      <c r="H379" s="25">
        <v>2</v>
      </c>
      <c r="I379" s="25">
        <v>3</v>
      </c>
      <c r="J379" s="25">
        <v>4</v>
      </c>
      <c r="K379" s="25">
        <v>5</v>
      </c>
      <c r="L379" s="25">
        <v>6</v>
      </c>
      <c r="M379" s="25">
        <v>7</v>
      </c>
      <c r="N379" s="25">
        <v>8</v>
      </c>
      <c r="O379" s="25">
        <v>9</v>
      </c>
      <c r="P379" s="25">
        <v>10</v>
      </c>
    </row>
    <row r="380" spans="5:20" x14ac:dyDescent="0.25">
      <c r="G380">
        <f>$I368</f>
        <v>88242.4164097756</v>
      </c>
      <c r="H380">
        <f>G380*$L368</f>
        <v>121549.99593156396</v>
      </c>
      <c r="I380">
        <f t="shared" ref="I380" si="104">H380*$L368</f>
        <v>167429.70231407316</v>
      </c>
      <c r="J380">
        <f t="shared" ref="J380" si="105">I380*$L368</f>
        <v>230626.95314907582</v>
      </c>
      <c r="K380">
        <f t="shared" ref="K380" si="106">J380*$L368</f>
        <v>317678.34968165786</v>
      </c>
      <c r="L380">
        <f t="shared" ref="L380" si="107">K380*$L368</f>
        <v>437587.76881220785</v>
      </c>
      <c r="M380">
        <f t="shared" ref="M380" si="108">L380*$L368</f>
        <v>602757.64969797106</v>
      </c>
      <c r="N380">
        <f t="shared" ref="N380" si="109">M380*$L368</f>
        <v>830271.79954232334</v>
      </c>
      <c r="O380">
        <f t="shared" ref="O380" si="110">N380*$L368</f>
        <v>1143662.4013990816</v>
      </c>
      <c r="P380">
        <f t="shared" ref="P380" si="111">O380*$L368</f>
        <v>1575343.9886732418</v>
      </c>
    </row>
    <row r="382" spans="5:20" ht="15.75" thickBot="1" x14ac:dyDescent="0.3">
      <c r="E382" t="s">
        <v>120</v>
      </c>
      <c r="G382" s="25">
        <v>1</v>
      </c>
      <c r="H382" s="25">
        <v>2</v>
      </c>
      <c r="I382" s="25">
        <v>3</v>
      </c>
      <c r="J382" s="25">
        <v>4</v>
      </c>
      <c r="K382" s="25">
        <v>5</v>
      </c>
      <c r="L382" s="25">
        <v>6</v>
      </c>
      <c r="M382" s="25">
        <v>7</v>
      </c>
      <c r="N382" s="25">
        <v>8</v>
      </c>
      <c r="O382" s="25">
        <v>9</v>
      </c>
      <c r="P382" s="25">
        <v>10</v>
      </c>
    </row>
    <row r="383" spans="5:20" ht="19.5" thickBot="1" x14ac:dyDescent="0.35">
      <c r="E383" s="35">
        <f>SUM(G383:P383)*ndec1_2026-1000000*O369</f>
        <v>0</v>
      </c>
      <c r="G383" s="38">
        <f>G372+G376+G380</f>
        <v>278437.15176259837</v>
      </c>
      <c r="H383" s="39">
        <f t="shared" ref="H383:P383" si="112">H372+H376+H380</f>
        <v>392903.88698921481</v>
      </c>
      <c r="I383" s="39">
        <f t="shared" si="112"/>
        <v>519942.74907655217</v>
      </c>
      <c r="J383" s="39">
        <f t="shared" si="112"/>
        <v>664299.15561638295</v>
      </c>
      <c r="K383" s="39">
        <f t="shared" si="112"/>
        <v>832509.70785379305</v>
      </c>
      <c r="L383" s="39">
        <f t="shared" si="112"/>
        <v>1033578.2826891711</v>
      </c>
      <c r="M383" s="39">
        <f t="shared" si="112"/>
        <v>1279907.3192797625</v>
      </c>
      <c r="N383" s="39">
        <f t="shared" si="112"/>
        <v>1588580.6248289431</v>
      </c>
      <c r="O383" s="39">
        <f t="shared" si="112"/>
        <v>1983130.3823905292</v>
      </c>
      <c r="P383" s="40">
        <f t="shared" si="112"/>
        <v>2495971.1253695176</v>
      </c>
      <c r="Q383" t="s">
        <v>74</v>
      </c>
      <c r="T383" s="55" t="s">
        <v>167</v>
      </c>
    </row>
    <row r="386" spans="2:18" ht="15.75" thickBot="1" x14ac:dyDescent="0.3"/>
    <row r="387" spans="2:18" ht="21.75" thickBot="1" x14ac:dyDescent="0.4">
      <c r="B387">
        <v>12</v>
      </c>
      <c r="C387" s="44">
        <v>2027</v>
      </c>
      <c r="E387" t="s">
        <v>55</v>
      </c>
      <c r="J387" t="s">
        <v>78</v>
      </c>
      <c r="M387" s="136">
        <f>INDEX('Прожит минимум'!$B$5:$P$5,1,B387)</f>
        <v>306621.73189008218</v>
      </c>
    </row>
    <row r="388" spans="2:18" x14ac:dyDescent="0.25">
      <c r="G388" t="s">
        <v>66</v>
      </c>
    </row>
    <row r="389" spans="2:18" ht="18.75" x14ac:dyDescent="0.3">
      <c r="E389" t="s">
        <v>197</v>
      </c>
      <c r="G389" s="31">
        <f>E402+E405+E412</f>
        <v>0</v>
      </c>
    </row>
    <row r="390" spans="2:18" ht="21.75" thickBot="1" x14ac:dyDescent="0.4">
      <c r="E390" t="s">
        <v>65</v>
      </c>
      <c r="G390" s="30">
        <f>P412/G412</f>
        <v>8.8838381654144261</v>
      </c>
      <c r="K390" t="s">
        <v>116</v>
      </c>
      <c r="O390" s="21" t="s">
        <v>67</v>
      </c>
    </row>
    <row r="391" spans="2:18" ht="15.75" thickBot="1" x14ac:dyDescent="0.3">
      <c r="E391" t="s">
        <v>57</v>
      </c>
      <c r="G391" s="29">
        <f>I391</f>
        <v>0.33333333333333331</v>
      </c>
      <c r="I391" s="36">
        <f>((1000000*INDEX(input2027,3)/(G397*ndec1_2027)-10)/45)</f>
        <v>0.33333333333333331</v>
      </c>
      <c r="K391" s="32">
        <f>INDEX(input2027,3)*1000000/(10*ndec1_2027)</f>
        <v>267234.06913955731</v>
      </c>
      <c r="L391" t="s">
        <v>63</v>
      </c>
      <c r="O391" s="76">
        <f>NNNdec1_2027/10</f>
        <v>91000</v>
      </c>
    </row>
    <row r="392" spans="2:18" ht="15.75" thickBot="1" x14ac:dyDescent="0.3">
      <c r="E392" t="s">
        <v>62</v>
      </c>
      <c r="G392" s="29">
        <f>I392</f>
        <v>0.5185185185185186</v>
      </c>
      <c r="I392" s="36">
        <f>(1000000*INDEX(input2027,1)/(H397*ndec1_2027)-10)/45</f>
        <v>0.5185185185185186</v>
      </c>
      <c r="K392" s="33">
        <f>INDEX(input2027,1)*1000000/(10*ndec1_2027)</f>
        <v>345230.61154773616</v>
      </c>
      <c r="L392" t="s">
        <v>64</v>
      </c>
    </row>
    <row r="393" spans="2:18" ht="15.75" thickBot="1" x14ac:dyDescent="0.3">
      <c r="E393" t="s">
        <v>60</v>
      </c>
      <c r="G393" s="29">
        <f>$L397</f>
        <v>1.3774554333045044</v>
      </c>
      <c r="K393" s="34">
        <f>(INDEX(input2027,2)+INDEX(input2027,4))*1000000/(10*ndec1_2027)</f>
        <v>596002.41383791878</v>
      </c>
      <c r="L393" t="s">
        <v>117</v>
      </c>
    </row>
    <row r="394" spans="2:18" ht="15.75" thickBot="1" x14ac:dyDescent="0.3">
      <c r="G394" s="25"/>
      <c r="H394" s="25"/>
      <c r="I394" s="25"/>
      <c r="J394" s="25"/>
      <c r="K394" s="25"/>
      <c r="L394" s="25"/>
      <c r="M394" s="25"/>
      <c r="N394" s="25"/>
      <c r="O394" s="25"/>
      <c r="P394" s="25"/>
    </row>
    <row r="395" spans="2:18" ht="15.75" thickBot="1" x14ac:dyDescent="0.3">
      <c r="G395" s="26"/>
      <c r="H395" s="27"/>
      <c r="I395" s="27"/>
      <c r="J395" s="27"/>
      <c r="K395" s="27"/>
      <c r="L395" s="27"/>
      <c r="M395" s="27"/>
      <c r="N395" s="27"/>
      <c r="O395" s="48"/>
      <c r="P395" s="48"/>
    </row>
    <row r="396" spans="2:18" ht="15.75" thickBot="1" x14ac:dyDescent="0.3">
      <c r="N396" t="s">
        <v>68</v>
      </c>
      <c r="O396" s="41">
        <f>INDEX(input2027,1)</f>
        <v>314159.85650843987</v>
      </c>
      <c r="P396" s="41">
        <f>INDEX(input2027,2)</f>
        <v>314159.85650843987</v>
      </c>
      <c r="Q396" s="41">
        <f>INDEX(input2027,3)</f>
        <v>243183.00291699715</v>
      </c>
      <c r="R396" s="41">
        <f>INDEX(input2027,4)</f>
        <v>228202.34008406621</v>
      </c>
    </row>
    <row r="397" spans="2:18" ht="15.75" thickBot="1" x14ac:dyDescent="0.3">
      <c r="E397" t="s">
        <v>118</v>
      </c>
      <c r="G397" s="45">
        <f>K391*G398</f>
        <v>106893.62765582293</v>
      </c>
      <c r="H397" s="45">
        <f>K392*H398</f>
        <v>103569.18346432084</v>
      </c>
      <c r="I397" s="37">
        <f>K393*I398</f>
        <v>95360.38621406701</v>
      </c>
      <c r="K397" t="s">
        <v>60</v>
      </c>
      <c r="L397" s="46">
        <v>1.3774554333045044</v>
      </c>
      <c r="N397" t="s">
        <v>121</v>
      </c>
      <c r="O397" s="76">
        <f>вход!M23*1000</f>
        <v>910000</v>
      </c>
    </row>
    <row r="398" spans="2:18" ht="15.75" thickBot="1" x14ac:dyDescent="0.3">
      <c r="E398" t="s">
        <v>119</v>
      </c>
      <c r="G398" s="24">
        <v>0.4</v>
      </c>
      <c r="H398" s="24">
        <v>0.3</v>
      </c>
      <c r="I398" s="24">
        <v>0.16</v>
      </c>
      <c r="N398" t="s">
        <v>69</v>
      </c>
      <c r="O398" s="47">
        <f>dohod2027</f>
        <v>1099705.0560179432</v>
      </c>
    </row>
    <row r="399" spans="2:18" x14ac:dyDescent="0.25">
      <c r="E399" t="s">
        <v>58</v>
      </c>
    </row>
    <row r="400" spans="2:18" x14ac:dyDescent="0.25">
      <c r="G400" s="25">
        <v>1</v>
      </c>
      <c r="H400" s="25">
        <v>2</v>
      </c>
      <c r="I400" s="25">
        <v>3</v>
      </c>
      <c r="J400" s="25">
        <v>4</v>
      </c>
      <c r="K400" s="25">
        <v>5</v>
      </c>
      <c r="L400" s="25">
        <v>6</v>
      </c>
      <c r="M400" s="25">
        <v>7</v>
      </c>
      <c r="N400" s="25">
        <v>8</v>
      </c>
      <c r="O400" s="25">
        <v>9</v>
      </c>
      <c r="P400" s="25">
        <v>10</v>
      </c>
    </row>
    <row r="401" spans="2:20" ht="15.75" thickBot="1" x14ac:dyDescent="0.3">
      <c r="E401" t="s">
        <v>61</v>
      </c>
      <c r="G401">
        <f>$G397</f>
        <v>106893.62765582293</v>
      </c>
      <c r="H401">
        <f>$G397*(1+(H400-1)*$G391)</f>
        <v>142524.83687443056</v>
      </c>
      <c r="I401">
        <f t="shared" ref="I401:P401" si="113">$G397*(1+(I400-1)*$G391)</f>
        <v>178156.0460930382</v>
      </c>
      <c r="J401">
        <f t="shared" si="113"/>
        <v>213787.25531164586</v>
      </c>
      <c r="K401">
        <f t="shared" si="113"/>
        <v>249418.46453025346</v>
      </c>
      <c r="L401">
        <f t="shared" si="113"/>
        <v>285049.67374886113</v>
      </c>
      <c r="M401">
        <f t="shared" si="113"/>
        <v>320680.88296746882</v>
      </c>
      <c r="N401">
        <f t="shared" si="113"/>
        <v>356312.09218607639</v>
      </c>
      <c r="O401">
        <f t="shared" si="113"/>
        <v>391943.30140468408</v>
      </c>
      <c r="P401">
        <f t="shared" si="113"/>
        <v>427574.51062329172</v>
      </c>
    </row>
    <row r="402" spans="2:20" ht="15.75" thickBot="1" x14ac:dyDescent="0.3">
      <c r="E402" s="28">
        <f>SUM(G401:P401)-10000000*$Q396/NNNdec1_2027</f>
        <v>0</v>
      </c>
    </row>
    <row r="403" spans="2:20" x14ac:dyDescent="0.25">
      <c r="E403" t="s">
        <v>133</v>
      </c>
    </row>
    <row r="404" spans="2:20" ht="15.75" thickBot="1" x14ac:dyDescent="0.3">
      <c r="E404" t="s">
        <v>61</v>
      </c>
      <c r="G404" s="25">
        <v>1</v>
      </c>
      <c r="H404" s="25">
        <v>2</v>
      </c>
      <c r="I404" s="25">
        <v>3</v>
      </c>
      <c r="J404" s="25">
        <v>4</v>
      </c>
      <c r="K404" s="25">
        <v>5</v>
      </c>
      <c r="L404" s="25">
        <v>6</v>
      </c>
      <c r="M404" s="25">
        <v>7</v>
      </c>
      <c r="N404" s="25">
        <v>8</v>
      </c>
      <c r="O404" s="25">
        <v>9</v>
      </c>
      <c r="P404" s="25">
        <v>10</v>
      </c>
    </row>
    <row r="405" spans="2:20" ht="15.75" thickBot="1" x14ac:dyDescent="0.3">
      <c r="E405" s="28">
        <f>SUM(G405:P405)-10000000*$O396/NNNdec1_2027</f>
        <v>0</v>
      </c>
      <c r="G405">
        <f>$H397</f>
        <v>103569.18346432084</v>
      </c>
      <c r="H405">
        <f>$H397*(1+(H404-1)*$G392)</f>
        <v>157271.72303841313</v>
      </c>
      <c r="I405">
        <f t="shared" ref="I405:P405" si="114">$H397*(1+(I404-1)*$G392)</f>
        <v>210974.26261250544</v>
      </c>
      <c r="J405">
        <f t="shared" si="114"/>
        <v>264676.80218659772</v>
      </c>
      <c r="K405">
        <f t="shared" si="114"/>
        <v>318379.34176069003</v>
      </c>
      <c r="L405">
        <f t="shared" si="114"/>
        <v>372081.88133478235</v>
      </c>
      <c r="M405">
        <f t="shared" si="114"/>
        <v>425784.4209088746</v>
      </c>
      <c r="N405">
        <f t="shared" si="114"/>
        <v>479486.96048296685</v>
      </c>
      <c r="O405">
        <f t="shared" si="114"/>
        <v>533189.50005705922</v>
      </c>
      <c r="P405">
        <f t="shared" si="114"/>
        <v>586892.03963115159</v>
      </c>
    </row>
    <row r="407" spans="2:20" x14ac:dyDescent="0.25">
      <c r="E407" t="s">
        <v>59</v>
      </c>
    </row>
    <row r="408" spans="2:20" x14ac:dyDescent="0.25">
      <c r="G408" s="25">
        <v>1</v>
      </c>
      <c r="H408" s="25">
        <v>2</v>
      </c>
      <c r="I408" s="25">
        <v>3</v>
      </c>
      <c r="J408" s="25">
        <v>4</v>
      </c>
      <c r="K408" s="25">
        <v>5</v>
      </c>
      <c r="L408" s="25">
        <v>6</v>
      </c>
      <c r="M408" s="25">
        <v>7</v>
      </c>
      <c r="N408" s="25">
        <v>8</v>
      </c>
      <c r="O408" s="25">
        <v>9</v>
      </c>
      <c r="P408" s="25">
        <v>10</v>
      </c>
    </row>
    <row r="409" spans="2:20" x14ac:dyDescent="0.25">
      <c r="G409">
        <f>$I397</f>
        <v>95360.38621406701</v>
      </c>
      <c r="H409">
        <f>G409*$L397</f>
        <v>131354.68211258255</v>
      </c>
      <c r="I409">
        <f t="shared" ref="I409" si="115">H409*$L397</f>
        <v>180935.22056596284</v>
      </c>
      <c r="J409">
        <f t="shared" ref="J409" si="116">I409*$L397</f>
        <v>249230.20264473441</v>
      </c>
      <c r="K409">
        <f t="shared" ref="K409" si="117">J409*$L397</f>
        <v>343303.49677657208</v>
      </c>
      <c r="L409">
        <f t="shared" ref="L409" si="118">K409*$L397</f>
        <v>472885.26690732461</v>
      </c>
      <c r="M409">
        <f t="shared" ref="M409" si="119">L409*$L397</f>
        <v>651378.38023114507</v>
      </c>
      <c r="N409">
        <f t="shared" ref="N409" si="120">M409*$L397</f>
        <v>897244.68898647814</v>
      </c>
      <c r="O409">
        <f t="shared" ref="O409" si="121">N409*$L397</f>
        <v>1235914.5718480346</v>
      </c>
      <c r="P409">
        <f t="shared" ref="P409" si="122">O409*$L397</f>
        <v>1702417.2420922855</v>
      </c>
    </row>
    <row r="411" spans="2:20" ht="15.75" thickBot="1" x14ac:dyDescent="0.3">
      <c r="E411" t="s">
        <v>120</v>
      </c>
      <c r="G411" s="25">
        <v>1</v>
      </c>
      <c r="H411" s="25">
        <v>2</v>
      </c>
      <c r="I411" s="25">
        <v>3</v>
      </c>
      <c r="J411" s="25">
        <v>4</v>
      </c>
      <c r="K411" s="25">
        <v>5</v>
      </c>
      <c r="L411" s="25">
        <v>6</v>
      </c>
      <c r="M411" s="25">
        <v>7</v>
      </c>
      <c r="N411" s="25">
        <v>8</v>
      </c>
      <c r="O411" s="25">
        <v>9</v>
      </c>
      <c r="P411" s="25">
        <v>10</v>
      </c>
    </row>
    <row r="412" spans="2:20" ht="19.5" thickBot="1" x14ac:dyDescent="0.35">
      <c r="E412" s="35">
        <f>SUM(G412:P412)*ndec1_2027-1000000*O398</f>
        <v>0</v>
      </c>
      <c r="G412" s="38">
        <f>G401+G405+G409</f>
        <v>305823.1973342108</v>
      </c>
      <c r="H412" s="39">
        <f t="shared" ref="H412:P412" si="123">H401+H405+H409</f>
        <v>431151.24202542624</v>
      </c>
      <c r="I412" s="39">
        <f t="shared" si="123"/>
        <v>570065.52927150647</v>
      </c>
      <c r="J412" s="39">
        <f t="shared" si="123"/>
        <v>727694.26014297805</v>
      </c>
      <c r="K412" s="39">
        <f t="shared" si="123"/>
        <v>911101.3030675156</v>
      </c>
      <c r="L412" s="39">
        <f t="shared" si="123"/>
        <v>1130016.821990968</v>
      </c>
      <c r="M412" s="39">
        <f t="shared" si="123"/>
        <v>1397843.6841074885</v>
      </c>
      <c r="N412" s="39">
        <f t="shared" si="123"/>
        <v>1733043.7416555213</v>
      </c>
      <c r="O412" s="39">
        <f t="shared" si="123"/>
        <v>2161047.373309778</v>
      </c>
      <c r="P412" s="40">
        <f t="shared" si="123"/>
        <v>2716883.792346729</v>
      </c>
      <c r="Q412" t="s">
        <v>74</v>
      </c>
      <c r="T412" s="55" t="s">
        <v>166</v>
      </c>
    </row>
    <row r="415" spans="2:20" ht="15.75" thickBot="1" x14ac:dyDescent="0.3"/>
    <row r="416" spans="2:20" ht="21.75" thickBot="1" x14ac:dyDescent="0.4">
      <c r="B416">
        <v>13</v>
      </c>
      <c r="C416" s="44">
        <v>2028</v>
      </c>
      <c r="E416" t="s">
        <v>55</v>
      </c>
      <c r="J416" t="s">
        <v>78</v>
      </c>
      <c r="M416" s="136">
        <f>INDEX('Прожит минимум'!$B$5:$P$5,1,B416)</f>
        <v>325019.03580348712</v>
      </c>
    </row>
    <row r="417" spans="5:18" x14ac:dyDescent="0.25">
      <c r="G417" t="s">
        <v>66</v>
      </c>
    </row>
    <row r="418" spans="5:18" ht="18.75" x14ac:dyDescent="0.3">
      <c r="E418" t="s">
        <v>198</v>
      </c>
      <c r="G418" s="31">
        <f>E431+E434+E441</f>
        <v>0</v>
      </c>
    </row>
    <row r="419" spans="5:18" ht="21.75" thickBot="1" x14ac:dyDescent="0.4">
      <c r="E419" t="s">
        <v>65</v>
      </c>
      <c r="G419" s="30">
        <f>P441/G441</f>
        <v>8.8018224051511584</v>
      </c>
      <c r="K419" t="s">
        <v>116</v>
      </c>
      <c r="O419" s="21" t="s">
        <v>67</v>
      </c>
    </row>
    <row r="420" spans="5:18" ht="15.75" thickBot="1" x14ac:dyDescent="0.3">
      <c r="E420" t="s">
        <v>57</v>
      </c>
      <c r="G420" s="29">
        <f>I420</f>
        <v>0.33333333333333331</v>
      </c>
      <c r="I420" s="36">
        <f>((1000000*INDEX(input2028,3)/(G426*ndec1_2028)-10)/45)</f>
        <v>0.33333333333333331</v>
      </c>
      <c r="K420" s="32">
        <f>INDEX(input2028,3)*1000000/(10*ndec1_2028)</f>
        <v>300243.96788542328</v>
      </c>
      <c r="L420" t="s">
        <v>63</v>
      </c>
      <c r="O420" s="76">
        <f>NNNdec1_2028/10</f>
        <v>90000</v>
      </c>
    </row>
    <row r="421" spans="5:18" ht="15.75" thickBot="1" x14ac:dyDescent="0.3">
      <c r="E421" t="s">
        <v>62</v>
      </c>
      <c r="G421" s="29">
        <f>I421</f>
        <v>0.5185185185185186</v>
      </c>
      <c r="I421" s="36">
        <f>(1000000*INDEX(input2028,1)/(H426*ndec1_2028)-10)/45</f>
        <v>0.5185185185185186</v>
      </c>
      <c r="K421" s="33">
        <f>INDEX(input2028,1)*1000000/(10*ndec1_2028)</f>
        <v>369376.06928860227</v>
      </c>
      <c r="L421" t="s">
        <v>64</v>
      </c>
    </row>
    <row r="422" spans="5:18" ht="15.75" thickBot="1" x14ac:dyDescent="0.3">
      <c r="E422" t="s">
        <v>60</v>
      </c>
      <c r="G422" s="29">
        <f>$L426</f>
        <v>1.3774554333045044</v>
      </c>
      <c r="K422" s="34">
        <f>(INDEX(input2028,2)+INDEX(input2028,4))*1000000/(10*ndec1_2028)</f>
        <v>638147.71427650261</v>
      </c>
      <c r="L422" t="s">
        <v>117</v>
      </c>
    </row>
    <row r="423" spans="5:18" ht="15.75" thickBot="1" x14ac:dyDescent="0.3">
      <c r="G423" s="25"/>
      <c r="H423" s="25"/>
      <c r="I423" s="25"/>
      <c r="J423" s="25"/>
      <c r="K423" s="25"/>
      <c r="L423" s="25"/>
      <c r="M423" s="25"/>
      <c r="N423" s="25"/>
      <c r="O423" s="25"/>
      <c r="P423" s="25"/>
    </row>
    <row r="424" spans="5:18" ht="15.75" thickBot="1" x14ac:dyDescent="0.3">
      <c r="G424" s="26"/>
      <c r="H424" s="27"/>
      <c r="I424" s="27"/>
      <c r="J424" s="27"/>
      <c r="K424" s="27"/>
      <c r="L424" s="27"/>
      <c r="M424" s="27"/>
      <c r="N424" s="27"/>
      <c r="O424" s="48"/>
      <c r="P424" s="48"/>
    </row>
    <row r="425" spans="5:18" ht="15.75" thickBot="1" x14ac:dyDescent="0.3">
      <c r="N425" t="s">
        <v>68</v>
      </c>
      <c r="O425" s="41">
        <f>INDEX(input2028,1)</f>
        <v>332438.46235974209</v>
      </c>
      <c r="P425" s="41">
        <f>INDEX(input2028,2)</f>
        <v>332438.46235974209</v>
      </c>
      <c r="Q425" s="41">
        <f>INDEX(input2028,3)</f>
        <v>270219.57109688094</v>
      </c>
      <c r="R425" s="41">
        <f>INDEX(input2028,4)</f>
        <v>241894.4804891102</v>
      </c>
    </row>
    <row r="426" spans="5:18" ht="15.75" thickBot="1" x14ac:dyDescent="0.3">
      <c r="E426" t="s">
        <v>118</v>
      </c>
      <c r="G426" s="45">
        <f>K420*G427</f>
        <v>120097.58715416932</v>
      </c>
      <c r="H426" s="45">
        <f>K421*H427</f>
        <v>110812.82078658068</v>
      </c>
      <c r="I426" s="37">
        <f>K422*I427</f>
        <v>102103.63428424043</v>
      </c>
      <c r="K426" t="s">
        <v>60</v>
      </c>
      <c r="L426" s="46">
        <v>1.3774554333045044</v>
      </c>
      <c r="N426" t="s">
        <v>121</v>
      </c>
      <c r="O426" s="76">
        <f>вход!N23*1000</f>
        <v>900000</v>
      </c>
    </row>
    <row r="427" spans="5:18" ht="15.75" thickBot="1" x14ac:dyDescent="0.3">
      <c r="E427" t="s">
        <v>119</v>
      </c>
      <c r="G427" s="24">
        <v>0.4</v>
      </c>
      <c r="H427" s="24">
        <v>0.3</v>
      </c>
      <c r="I427" s="24">
        <v>0.16</v>
      </c>
      <c r="N427" t="s">
        <v>69</v>
      </c>
      <c r="O427" s="47">
        <f>dohod2028</f>
        <v>1176990.9763054752</v>
      </c>
    </row>
    <row r="428" spans="5:18" x14ac:dyDescent="0.25">
      <c r="E428" t="s">
        <v>58</v>
      </c>
    </row>
    <row r="429" spans="5:18" x14ac:dyDescent="0.25">
      <c r="G429" s="25">
        <v>1</v>
      </c>
      <c r="H429" s="25">
        <v>2</v>
      </c>
      <c r="I429" s="25">
        <v>3</v>
      </c>
      <c r="J429" s="25">
        <v>4</v>
      </c>
      <c r="K429" s="25">
        <v>5</v>
      </c>
      <c r="L429" s="25">
        <v>6</v>
      </c>
      <c r="M429" s="25">
        <v>7</v>
      </c>
      <c r="N429" s="25">
        <v>8</v>
      </c>
      <c r="O429" s="25">
        <v>9</v>
      </c>
      <c r="P429" s="25">
        <v>10</v>
      </c>
    </row>
    <row r="430" spans="5:18" ht="15.75" thickBot="1" x14ac:dyDescent="0.3">
      <c r="E430" t="s">
        <v>61</v>
      </c>
      <c r="G430">
        <f>$G426</f>
        <v>120097.58715416932</v>
      </c>
      <c r="H430">
        <f>$G426*(1+(H429-1)*$G420)</f>
        <v>160130.11620555908</v>
      </c>
      <c r="I430">
        <f t="shared" ref="I430:P430" si="124">$G426*(1+(I429-1)*$G420)</f>
        <v>200162.64525694886</v>
      </c>
      <c r="J430">
        <f t="shared" si="124"/>
        <v>240195.17430833864</v>
      </c>
      <c r="K430">
        <f t="shared" si="124"/>
        <v>280227.70335972839</v>
      </c>
      <c r="L430">
        <f t="shared" si="124"/>
        <v>320260.23241111817</v>
      </c>
      <c r="M430">
        <f t="shared" si="124"/>
        <v>360292.76146250794</v>
      </c>
      <c r="N430">
        <f t="shared" si="124"/>
        <v>400325.29051389772</v>
      </c>
      <c r="O430">
        <f t="shared" si="124"/>
        <v>440357.8195652875</v>
      </c>
      <c r="P430">
        <f t="shared" si="124"/>
        <v>480390.34861667728</v>
      </c>
    </row>
    <row r="431" spans="5:18" ht="15.75" thickBot="1" x14ac:dyDescent="0.3">
      <c r="E431" s="28">
        <f>SUM(G430:P430)-10000000*$Q425/NNNdec1_2028</f>
        <v>0</v>
      </c>
    </row>
    <row r="432" spans="5:18" x14ac:dyDescent="0.25">
      <c r="E432" t="s">
        <v>133</v>
      </c>
    </row>
    <row r="433" spans="2:20" ht="15.75" thickBot="1" x14ac:dyDescent="0.3">
      <c r="E433" t="s">
        <v>61</v>
      </c>
      <c r="G433" s="25">
        <v>1</v>
      </c>
      <c r="H433" s="25">
        <v>2</v>
      </c>
      <c r="I433" s="25">
        <v>3</v>
      </c>
      <c r="J433" s="25">
        <v>4</v>
      </c>
      <c r="K433" s="25">
        <v>5</v>
      </c>
      <c r="L433" s="25">
        <v>6</v>
      </c>
      <c r="M433" s="25">
        <v>7</v>
      </c>
      <c r="N433" s="25">
        <v>8</v>
      </c>
      <c r="O433" s="25">
        <v>9</v>
      </c>
      <c r="P433" s="25">
        <v>10</v>
      </c>
    </row>
    <row r="434" spans="2:20" ht="15.75" thickBot="1" x14ac:dyDescent="0.3">
      <c r="E434" s="28">
        <f>SUM(G434:P434)-10000000*$O425/NNNdec1_2028</f>
        <v>0</v>
      </c>
      <c r="G434">
        <f>$H426</f>
        <v>110812.82078658068</v>
      </c>
      <c r="H434">
        <f>$H426*(1+(H433-1)*$G421)</f>
        <v>168271.32045369659</v>
      </c>
      <c r="I434">
        <f t="shared" ref="I434:P434" si="125">$H426*(1+(I433-1)*$G421)</f>
        <v>225729.82012081251</v>
      </c>
      <c r="J434">
        <f t="shared" si="125"/>
        <v>283188.31978792843</v>
      </c>
      <c r="K434">
        <f t="shared" si="125"/>
        <v>340646.81945504434</v>
      </c>
      <c r="L434">
        <f t="shared" si="125"/>
        <v>398105.31912216026</v>
      </c>
      <c r="M434">
        <f t="shared" si="125"/>
        <v>455563.81878927618</v>
      </c>
      <c r="N434">
        <f t="shared" si="125"/>
        <v>513022.31845639204</v>
      </c>
      <c r="O434">
        <f t="shared" si="125"/>
        <v>570480.81812350801</v>
      </c>
      <c r="P434">
        <f t="shared" si="125"/>
        <v>627939.31779062399</v>
      </c>
    </row>
    <row r="436" spans="2:20" x14ac:dyDescent="0.25">
      <c r="E436" t="s">
        <v>59</v>
      </c>
    </row>
    <row r="437" spans="2:20" x14ac:dyDescent="0.25">
      <c r="G437" s="25">
        <v>1</v>
      </c>
      <c r="H437" s="25">
        <v>2</v>
      </c>
      <c r="I437" s="25">
        <v>3</v>
      </c>
      <c r="J437" s="25">
        <v>4</v>
      </c>
      <c r="K437" s="25">
        <v>5</v>
      </c>
      <c r="L437" s="25">
        <v>6</v>
      </c>
      <c r="M437" s="25">
        <v>7</v>
      </c>
      <c r="N437" s="25">
        <v>8</v>
      </c>
      <c r="O437" s="25">
        <v>9</v>
      </c>
      <c r="P437" s="25">
        <v>10</v>
      </c>
    </row>
    <row r="438" spans="2:20" x14ac:dyDescent="0.25">
      <c r="G438">
        <f>$I426</f>
        <v>102103.63428424043</v>
      </c>
      <c r="H438">
        <f>G438*$L426</f>
        <v>140643.20580496304</v>
      </c>
      <c r="I438">
        <f t="shared" ref="I438" si="126">H438*$L426</f>
        <v>193729.74799340995</v>
      </c>
      <c r="J438">
        <f t="shared" ref="J438" si="127">I438*$L426</f>
        <v>266854.09396623494</v>
      </c>
      <c r="K438">
        <f t="shared" ref="K438" si="128">J438*$L426</f>
        <v>367579.62163334107</v>
      </c>
      <c r="L438">
        <f t="shared" ref="L438" si="129">K438*$L426</f>
        <v>506324.54699085961</v>
      </c>
      <c r="M438">
        <f t="shared" ref="M438" si="130">L438*$L426</f>
        <v>697439.49826800136</v>
      </c>
      <c r="N438">
        <f t="shared" ref="N438" si="131">M438*$L426</f>
        <v>960691.82629042596</v>
      </c>
      <c r="O438">
        <f t="shared" ref="O438" si="132">N438*$L426</f>
        <v>1323310.1758549744</v>
      </c>
      <c r="P438">
        <f t="shared" ref="P438" si="133">O438*$L426</f>
        <v>1822800.7916785737</v>
      </c>
    </row>
    <row r="440" spans="2:20" ht="15.75" thickBot="1" x14ac:dyDescent="0.3">
      <c r="E440" t="s">
        <v>120</v>
      </c>
      <c r="G440" s="25">
        <v>1</v>
      </c>
      <c r="H440" s="25">
        <v>2</v>
      </c>
      <c r="I440" s="25">
        <v>3</v>
      </c>
      <c r="J440" s="25">
        <v>4</v>
      </c>
      <c r="K440" s="25">
        <v>5</v>
      </c>
      <c r="L440" s="25">
        <v>6</v>
      </c>
      <c r="M440" s="25">
        <v>7</v>
      </c>
      <c r="N440" s="25">
        <v>8</v>
      </c>
      <c r="O440" s="25">
        <v>9</v>
      </c>
      <c r="P440" s="25">
        <v>10</v>
      </c>
    </row>
    <row r="441" spans="2:20" ht="19.5" thickBot="1" x14ac:dyDescent="0.35">
      <c r="E441" s="35">
        <f>SUM(G441:P441)*ndec1_2028-1000000*O427</f>
        <v>0</v>
      </c>
      <c r="G441" s="38">
        <f>G430+G434+G438</f>
        <v>333014.04222499044</v>
      </c>
      <c r="H441" s="39">
        <f t="shared" ref="H441:P441" si="134">H430+H434+H438</f>
        <v>469044.64246421866</v>
      </c>
      <c r="I441" s="39">
        <f t="shared" si="134"/>
        <v>619622.21337117138</v>
      </c>
      <c r="J441" s="39">
        <f t="shared" si="134"/>
        <v>790237.58806250198</v>
      </c>
      <c r="K441" s="39">
        <f t="shared" si="134"/>
        <v>988454.14444811386</v>
      </c>
      <c r="L441" s="39">
        <f t="shared" si="134"/>
        <v>1224690.0985241381</v>
      </c>
      <c r="M441" s="39">
        <f t="shared" si="134"/>
        <v>1513296.0785197853</v>
      </c>
      <c r="N441" s="39">
        <f t="shared" si="134"/>
        <v>1874039.4352607159</v>
      </c>
      <c r="O441" s="39">
        <f t="shared" si="134"/>
        <v>2334148.81354377</v>
      </c>
      <c r="P441" s="40">
        <f t="shared" si="134"/>
        <v>2931130.458085875</v>
      </c>
      <c r="Q441" t="s">
        <v>74</v>
      </c>
      <c r="T441" s="55" t="s">
        <v>165</v>
      </c>
    </row>
    <row r="444" spans="2:20" ht="15.75" thickBot="1" x14ac:dyDescent="0.3"/>
    <row r="445" spans="2:20" ht="21.75" thickBot="1" x14ac:dyDescent="0.4">
      <c r="B445">
        <v>14</v>
      </c>
      <c r="C445" s="44">
        <v>2029</v>
      </c>
      <c r="E445" t="s">
        <v>55</v>
      </c>
      <c r="J445" t="s">
        <v>78</v>
      </c>
      <c r="M445" s="136">
        <f>INDEX('Прожит минимум'!$B$5:$P$5,1,B445)</f>
        <v>344520.17795169639</v>
      </c>
    </row>
    <row r="446" spans="2:20" x14ac:dyDescent="0.25">
      <c r="G446" t="s">
        <v>66</v>
      </c>
    </row>
    <row r="447" spans="2:20" ht="18.75" x14ac:dyDescent="0.3">
      <c r="E447" t="s">
        <v>199</v>
      </c>
      <c r="G447" s="31">
        <f>E460+E463+E470</f>
        <v>0</v>
      </c>
    </row>
    <row r="448" spans="2:20" ht="21.75" thickBot="1" x14ac:dyDescent="0.4">
      <c r="E448" t="s">
        <v>65</v>
      </c>
      <c r="G448" s="30">
        <f>P470/G470</f>
        <v>8.7182751138607255</v>
      </c>
      <c r="K448" t="s">
        <v>116</v>
      </c>
      <c r="O448" s="21" t="s">
        <v>67</v>
      </c>
    </row>
    <row r="449" spans="5:18" ht="15.75" thickBot="1" x14ac:dyDescent="0.3">
      <c r="E449" t="s">
        <v>57</v>
      </c>
      <c r="G449" s="29">
        <f>I449</f>
        <v>0.33333333333333331</v>
      </c>
      <c r="I449" s="36">
        <f>((1000000*INDEX(input2029,3)/(G455*ndec1_2029)-10)/45)</f>
        <v>0.33333333333333331</v>
      </c>
      <c r="K449" s="32">
        <f>INDEX(input2029,3)*1000000/(10*ndec1_2029)</f>
        <v>335554.93494939996</v>
      </c>
      <c r="L449" t="s">
        <v>63</v>
      </c>
      <c r="O449" s="76">
        <f>NNNdec1_2029/10</f>
        <v>89500</v>
      </c>
    </row>
    <row r="450" spans="5:18" ht="15.75" thickBot="1" x14ac:dyDescent="0.3">
      <c r="E450" t="s">
        <v>62</v>
      </c>
      <c r="G450" s="29">
        <f>I450</f>
        <v>0.5185185185185186</v>
      </c>
      <c r="I450" s="36">
        <f>(1000000*INDEX(input2029,1)/(H455*ndec1_2029)-10)/45</f>
        <v>0.5185185185185186</v>
      </c>
      <c r="K450" s="33">
        <f>INDEX(input2029,1)*1000000/(10*ndec1_2029)</f>
        <v>393050.90859886905</v>
      </c>
      <c r="L450" t="s">
        <v>64</v>
      </c>
    </row>
    <row r="451" spans="5:18" ht="15.75" thickBot="1" x14ac:dyDescent="0.3">
      <c r="E451" t="s">
        <v>60</v>
      </c>
      <c r="G451" s="29">
        <f>$L455</f>
        <v>1.3774554333045044</v>
      </c>
      <c r="K451" s="34">
        <f>(INDEX(input2029,2)+INDEX(input2029,4))*1000000/(10*ndec1_2029)</f>
        <v>679540.46090999397</v>
      </c>
      <c r="L451" t="s">
        <v>117</v>
      </c>
    </row>
    <row r="452" spans="5:18" ht="15.75" thickBot="1" x14ac:dyDescent="0.3">
      <c r="G452" s="25"/>
      <c r="H452" s="25"/>
      <c r="I452" s="25"/>
      <c r="J452" s="25"/>
      <c r="K452" s="25"/>
      <c r="L452" s="25"/>
      <c r="M452" s="25"/>
      <c r="N452" s="25"/>
      <c r="O452" s="25"/>
      <c r="P452" s="25"/>
    </row>
    <row r="453" spans="5:18" ht="15.75" thickBot="1" x14ac:dyDescent="0.3">
      <c r="G453" s="26"/>
      <c r="H453" s="27"/>
      <c r="I453" s="27"/>
      <c r="J453" s="27"/>
      <c r="K453" s="27"/>
      <c r="L453" s="27"/>
      <c r="M453" s="27"/>
      <c r="N453" s="27"/>
      <c r="O453" s="48"/>
      <c r="P453" s="48"/>
    </row>
    <row r="454" spans="5:18" ht="15.75" thickBot="1" x14ac:dyDescent="0.3">
      <c r="N454" t="s">
        <v>68</v>
      </c>
      <c r="O454" s="41">
        <f>INDEX(input2029,1)</f>
        <v>351780.56319598778</v>
      </c>
      <c r="P454" s="41">
        <f>INDEX(input2029,2)</f>
        <v>351780.56319598778</v>
      </c>
      <c r="Q454" s="41">
        <f>INDEX(input2029,3)</f>
        <v>300321.66677971295</v>
      </c>
      <c r="R454" s="41">
        <f>INDEX(input2029,4)</f>
        <v>256408.14931845682</v>
      </c>
    </row>
    <row r="455" spans="5:18" ht="15.75" thickBot="1" x14ac:dyDescent="0.3">
      <c r="E455" t="s">
        <v>118</v>
      </c>
      <c r="G455" s="45">
        <f>K449*G456</f>
        <v>134221.97397975999</v>
      </c>
      <c r="H455" s="45">
        <f>K450*H456</f>
        <v>117915.27257966071</v>
      </c>
      <c r="I455" s="37">
        <f>K451*I456</f>
        <v>108726.47374559904</v>
      </c>
      <c r="K455" t="s">
        <v>60</v>
      </c>
      <c r="L455" s="46">
        <v>1.3774554333045044</v>
      </c>
      <c r="N455" t="s">
        <v>121</v>
      </c>
      <c r="O455" s="76">
        <f>вход!O23*1000</f>
        <v>895000</v>
      </c>
    </row>
    <row r="456" spans="5:18" ht="15.75" thickBot="1" x14ac:dyDescent="0.3">
      <c r="E456" t="s">
        <v>119</v>
      </c>
      <c r="G456" s="24">
        <v>0.4</v>
      </c>
      <c r="H456" s="24">
        <v>0.3</v>
      </c>
      <c r="I456" s="24">
        <v>0.16</v>
      </c>
      <c r="N456" t="s">
        <v>69</v>
      </c>
      <c r="O456" s="106">
        <f>dohod2029</f>
        <v>1260290.9424901453</v>
      </c>
    </row>
    <row r="457" spans="5:18" x14ac:dyDescent="0.25">
      <c r="E457" t="s">
        <v>58</v>
      </c>
    </row>
    <row r="458" spans="5:18" x14ac:dyDescent="0.25">
      <c r="G458" s="25">
        <v>1</v>
      </c>
      <c r="H458" s="25">
        <v>2</v>
      </c>
      <c r="I458" s="25">
        <v>3</v>
      </c>
      <c r="J458" s="25">
        <v>4</v>
      </c>
      <c r="K458" s="25">
        <v>5</v>
      </c>
      <c r="L458" s="25">
        <v>6</v>
      </c>
      <c r="M458" s="25">
        <v>7</v>
      </c>
      <c r="N458" s="25">
        <v>8</v>
      </c>
      <c r="O458" s="25">
        <v>9</v>
      </c>
      <c r="P458" s="25">
        <v>10</v>
      </c>
    </row>
    <row r="459" spans="5:18" ht="15.75" thickBot="1" x14ac:dyDescent="0.3">
      <c r="E459" t="s">
        <v>61</v>
      </c>
      <c r="G459">
        <f>$G455</f>
        <v>134221.97397975999</v>
      </c>
      <c r="H459">
        <f>$G455*(1+(H458-1)*$G449)</f>
        <v>178962.63197301331</v>
      </c>
      <c r="I459">
        <f t="shared" ref="I459:P459" si="135">$G455*(1+(I458-1)*$G449)</f>
        <v>223703.28996626663</v>
      </c>
      <c r="J459">
        <f t="shared" si="135"/>
        <v>268443.94795951998</v>
      </c>
      <c r="K459">
        <f t="shared" si="135"/>
        <v>313184.60595277324</v>
      </c>
      <c r="L459">
        <f t="shared" si="135"/>
        <v>357925.26394602662</v>
      </c>
      <c r="M459">
        <f t="shared" si="135"/>
        <v>402665.92193928</v>
      </c>
      <c r="N459">
        <f t="shared" si="135"/>
        <v>447406.57993253326</v>
      </c>
      <c r="O459">
        <f t="shared" si="135"/>
        <v>492147.23792578658</v>
      </c>
      <c r="P459">
        <f t="shared" si="135"/>
        <v>536887.89591903996</v>
      </c>
    </row>
    <row r="460" spans="5:18" ht="15.75" thickBot="1" x14ac:dyDescent="0.3">
      <c r="E460" s="28">
        <f>SUM(G459:P459)-10000000*$Q454/NNNdec1_2029</f>
        <v>0</v>
      </c>
    </row>
    <row r="461" spans="5:18" x14ac:dyDescent="0.25">
      <c r="E461" t="s">
        <v>133</v>
      </c>
    </row>
    <row r="462" spans="5:18" ht="15.75" thickBot="1" x14ac:dyDescent="0.3">
      <c r="E462" t="s">
        <v>61</v>
      </c>
      <c r="G462" s="25">
        <v>1</v>
      </c>
      <c r="H462" s="25">
        <v>2</v>
      </c>
      <c r="I462" s="25">
        <v>3</v>
      </c>
      <c r="J462" s="25">
        <v>4</v>
      </c>
      <c r="K462" s="25">
        <v>5</v>
      </c>
      <c r="L462" s="25">
        <v>6</v>
      </c>
      <c r="M462" s="25">
        <v>7</v>
      </c>
      <c r="N462" s="25">
        <v>8</v>
      </c>
      <c r="O462" s="25">
        <v>9</v>
      </c>
      <c r="P462" s="25">
        <v>10</v>
      </c>
    </row>
    <row r="463" spans="5:18" ht="15.75" thickBot="1" x14ac:dyDescent="0.3">
      <c r="E463" s="28">
        <f>SUM(G463:P463)-10000000*$O454/NNNdec1_2029</f>
        <v>0</v>
      </c>
      <c r="G463">
        <f>$H455</f>
        <v>117915.27257966071</v>
      </c>
      <c r="H463">
        <f>$H455*(1+(H462-1)*$G450)</f>
        <v>179056.5250283737</v>
      </c>
      <c r="I463">
        <f t="shared" ref="I463:P463" si="136">$H455*(1+(I462-1)*$G450)</f>
        <v>240197.77747708667</v>
      </c>
      <c r="J463">
        <f t="shared" si="136"/>
        <v>301339.02992579964</v>
      </c>
      <c r="K463">
        <f t="shared" si="136"/>
        <v>362480.28237451258</v>
      </c>
      <c r="L463">
        <f t="shared" si="136"/>
        <v>423621.53482322558</v>
      </c>
      <c r="M463">
        <f t="shared" si="136"/>
        <v>484762.78727193852</v>
      </c>
      <c r="N463">
        <f t="shared" si="136"/>
        <v>545904.03972065146</v>
      </c>
      <c r="O463">
        <f t="shared" si="136"/>
        <v>607045.29216936452</v>
      </c>
      <c r="P463">
        <f t="shared" si="136"/>
        <v>668186.54461807746</v>
      </c>
    </row>
    <row r="465" spans="2:20" x14ac:dyDescent="0.25">
      <c r="E465" t="s">
        <v>59</v>
      </c>
    </row>
    <row r="466" spans="2:20" x14ac:dyDescent="0.25">
      <c r="G466" s="25">
        <v>1</v>
      </c>
      <c r="H466" s="25">
        <v>2</v>
      </c>
      <c r="I466" s="25">
        <v>3</v>
      </c>
      <c r="J466" s="25">
        <v>4</v>
      </c>
      <c r="K466" s="25">
        <v>5</v>
      </c>
      <c r="L466" s="25">
        <v>6</v>
      </c>
      <c r="M466" s="25">
        <v>7</v>
      </c>
      <c r="N466" s="25">
        <v>8</v>
      </c>
      <c r="O466" s="25">
        <v>9</v>
      </c>
      <c r="P466" s="25">
        <v>10</v>
      </c>
    </row>
    <row r="467" spans="2:20" x14ac:dyDescent="0.25">
      <c r="G467">
        <f>$I455</f>
        <v>108726.47374559904</v>
      </c>
      <c r="H467">
        <f>G467*$L455</f>
        <v>149765.87200491494</v>
      </c>
      <c r="I467">
        <f t="shared" ref="I467" si="137">H467*$L455</f>
        <v>206295.81411675704</v>
      </c>
      <c r="J467">
        <f t="shared" ref="J467" si="138">I467*$L455</f>
        <v>284163.29002310307</v>
      </c>
      <c r="K467">
        <f t="shared" ref="K467" si="139">J467*$L455</f>
        <v>391422.26778800698</v>
      </c>
      <c r="L467">
        <f t="shared" ref="L467" si="140">K467*$L455</f>
        <v>539166.72948096087</v>
      </c>
      <c r="M467">
        <f t="shared" ref="M467" si="141">L467*$L455</f>
        <v>742678.14098056941</v>
      </c>
      <c r="N467">
        <f t="shared" ref="N467" si="142">M467*$L455</f>
        <v>1023006.0404901741</v>
      </c>
      <c r="O467">
        <f t="shared" ref="O467" si="143">N467*$L455</f>
        <v>1409145.228776518</v>
      </c>
      <c r="P467">
        <f t="shared" ref="P467" si="144">O467*$L455</f>
        <v>1941034.7516933335</v>
      </c>
    </row>
    <row r="469" spans="2:20" ht="15.75" thickBot="1" x14ac:dyDescent="0.3">
      <c r="E469" t="s">
        <v>120</v>
      </c>
      <c r="G469" s="25">
        <v>1</v>
      </c>
      <c r="H469" s="25">
        <v>2</v>
      </c>
      <c r="I469" s="25">
        <v>3</v>
      </c>
      <c r="J469" s="25">
        <v>4</v>
      </c>
      <c r="K469" s="25">
        <v>5</v>
      </c>
      <c r="L469" s="25">
        <v>6</v>
      </c>
      <c r="M469" s="25">
        <v>7</v>
      </c>
      <c r="N469" s="25">
        <v>8</v>
      </c>
      <c r="O469" s="25">
        <v>9</v>
      </c>
      <c r="P469" s="25">
        <v>10</v>
      </c>
    </row>
    <row r="470" spans="2:20" ht="19.5" thickBot="1" x14ac:dyDescent="0.35">
      <c r="E470" s="35">
        <f>SUM(G470:P470)*ndec1_2029-1000000*O456</f>
        <v>0</v>
      </c>
      <c r="G470" s="38">
        <f>G459+G463+G467</f>
        <v>360863.72030501976</v>
      </c>
      <c r="H470" s="39">
        <f t="shared" ref="H470:P470" si="145">H459+H463+H467</f>
        <v>507785.02900630189</v>
      </c>
      <c r="I470" s="39">
        <f t="shared" si="145"/>
        <v>670196.88156011037</v>
      </c>
      <c r="J470" s="39">
        <f t="shared" si="145"/>
        <v>853946.26790842274</v>
      </c>
      <c r="K470" s="39">
        <f t="shared" si="145"/>
        <v>1067087.1561152928</v>
      </c>
      <c r="L470" s="39">
        <f t="shared" si="145"/>
        <v>1320713.528250213</v>
      </c>
      <c r="M470" s="39">
        <f t="shared" si="145"/>
        <v>1630106.8501917878</v>
      </c>
      <c r="N470" s="39">
        <f t="shared" si="145"/>
        <v>2016316.6601433586</v>
      </c>
      <c r="O470" s="39">
        <f t="shared" si="145"/>
        <v>2508337.7588716689</v>
      </c>
      <c r="P470" s="40">
        <f t="shared" si="145"/>
        <v>3146109.1922304509</v>
      </c>
      <c r="Q470" t="s">
        <v>74</v>
      </c>
      <c r="T470" s="55" t="s">
        <v>164</v>
      </c>
    </row>
    <row r="473" spans="2:20" ht="15.75" thickBot="1" x14ac:dyDescent="0.3"/>
    <row r="474" spans="2:20" ht="21.75" thickBot="1" x14ac:dyDescent="0.4">
      <c r="B474">
        <v>15</v>
      </c>
      <c r="C474" s="44">
        <v>2030</v>
      </c>
      <c r="E474" t="s">
        <v>55</v>
      </c>
      <c r="J474" t="s">
        <v>78</v>
      </c>
      <c r="M474" s="136">
        <f>INDEX('Прожит минимум'!$B$5:$P$5,1,B474)</f>
        <v>365191.38862879819</v>
      </c>
    </row>
    <row r="475" spans="2:20" x14ac:dyDescent="0.25">
      <c r="G475" t="s">
        <v>66</v>
      </c>
    </row>
    <row r="476" spans="2:20" ht="18.75" x14ac:dyDescent="0.3">
      <c r="E476" t="s">
        <v>200</v>
      </c>
      <c r="G476" s="31">
        <f>E489+E492+E499</f>
        <v>0</v>
      </c>
    </row>
    <row r="477" spans="2:20" ht="21.75" thickBot="1" x14ac:dyDescent="0.4">
      <c r="E477" t="s">
        <v>65</v>
      </c>
      <c r="G477" s="30">
        <f>P499/G499</f>
        <v>8.6332721113267645</v>
      </c>
      <c r="K477" t="s">
        <v>116</v>
      </c>
      <c r="O477" s="21" t="s">
        <v>67</v>
      </c>
    </row>
    <row r="478" spans="2:20" ht="15.75" thickBot="1" x14ac:dyDescent="0.3">
      <c r="E478" t="s">
        <v>57</v>
      </c>
      <c r="G478" s="29">
        <f>I478</f>
        <v>0.33333333333333326</v>
      </c>
      <c r="I478" s="36">
        <f>((1000000*INDEX(input2030,3)/(G484*ndec1_2030)-10)/45)</f>
        <v>0.33333333333333326</v>
      </c>
      <c r="K478" s="32">
        <f>INDEX(input2030,3)*1000000/(10*ndec1_2030)</f>
        <v>375524.46772759786</v>
      </c>
      <c r="L478" t="s">
        <v>63</v>
      </c>
      <c r="O478" s="76">
        <f>NNNdec1_2030/10</f>
        <v>88900</v>
      </c>
    </row>
    <row r="479" spans="2:20" ht="15.75" thickBot="1" x14ac:dyDescent="0.3">
      <c r="E479" t="s">
        <v>62</v>
      </c>
      <c r="G479" s="29">
        <f>I479</f>
        <v>0.5185185185185186</v>
      </c>
      <c r="I479" s="36">
        <f>(1000000*INDEX(input2030,1)/(H484*ndec1_2030)-10)/45</f>
        <v>0.5185185185185186</v>
      </c>
      <c r="K479" s="33">
        <f>INDEX(input2030,1)*1000000/(10*ndec1_2030)</f>
        <v>418726.69945347385</v>
      </c>
      <c r="L479" t="s">
        <v>64</v>
      </c>
    </row>
    <row r="480" spans="2:20" ht="15.75" thickBot="1" x14ac:dyDescent="0.3">
      <c r="E480" t="s">
        <v>60</v>
      </c>
      <c r="G480" s="29">
        <f>$L484</f>
        <v>1.3774554333045044</v>
      </c>
      <c r="K480" s="34">
        <f>(INDEX(input2030,2)+INDEX(input2030,4))*1000000/(10*ndec1_2030)</f>
        <v>724455.20145298366</v>
      </c>
      <c r="L480" t="s">
        <v>117</v>
      </c>
    </row>
    <row r="481" spans="5:18" ht="15.75" thickBot="1" x14ac:dyDescent="0.3">
      <c r="G481" s="25"/>
      <c r="H481" s="25"/>
      <c r="I481" s="25"/>
      <c r="J481" s="25"/>
      <c r="K481" s="25"/>
      <c r="L481" s="25"/>
      <c r="M481" s="25"/>
      <c r="N481" s="25"/>
      <c r="O481" s="25"/>
      <c r="P481" s="25"/>
    </row>
    <row r="482" spans="5:18" ht="15.75" thickBot="1" x14ac:dyDescent="0.3">
      <c r="G482" s="26"/>
      <c r="H482" s="27"/>
      <c r="I482" s="27"/>
      <c r="J482" s="27"/>
      <c r="K482" s="27"/>
      <c r="L482" s="27"/>
      <c r="M482" s="27"/>
      <c r="N482" s="27"/>
      <c r="O482" s="48"/>
      <c r="P482" s="48"/>
    </row>
    <row r="483" spans="5:18" ht="15.75" thickBot="1" x14ac:dyDescent="0.3">
      <c r="N483" t="s">
        <v>68</v>
      </c>
      <c r="O483" s="41">
        <f>INDEX(input2030,1)</f>
        <v>372248.03581413825</v>
      </c>
      <c r="P483" s="41">
        <f>INDEX(input2030,2)</f>
        <v>372248.03581413825</v>
      </c>
      <c r="Q483" s="41">
        <f>INDEX(input2030,3)</f>
        <v>333841.25180983444</v>
      </c>
      <c r="R483" s="41">
        <f>INDEX(input2030,4)</f>
        <v>271792.63827756426</v>
      </c>
    </row>
    <row r="484" spans="5:18" ht="15.75" thickBot="1" x14ac:dyDescent="0.3">
      <c r="E484" t="s">
        <v>118</v>
      </c>
      <c r="G484" s="45">
        <f>K478*G485</f>
        <v>150209.78709103915</v>
      </c>
      <c r="H484" s="45">
        <f>K479*H485</f>
        <v>125618.00983604215</v>
      </c>
      <c r="I484" s="37">
        <f>K480*I485</f>
        <v>115912.83223247739</v>
      </c>
      <c r="K484" t="s">
        <v>60</v>
      </c>
      <c r="L484" s="46">
        <v>1.3774554333045044</v>
      </c>
      <c r="N484" t="s">
        <v>121</v>
      </c>
      <c r="O484" s="76">
        <f>вход!P23*1000</f>
        <v>889000</v>
      </c>
    </row>
    <row r="485" spans="5:18" ht="15.75" thickBot="1" x14ac:dyDescent="0.3">
      <c r="E485" t="s">
        <v>119</v>
      </c>
      <c r="G485" s="24">
        <v>0.4</v>
      </c>
      <c r="H485" s="24">
        <v>0.3</v>
      </c>
      <c r="I485" s="24">
        <v>0.16</v>
      </c>
      <c r="N485" t="s">
        <v>69</v>
      </c>
      <c r="O485" s="106">
        <f>dohod2030</f>
        <v>1350129.9617156752</v>
      </c>
    </row>
    <row r="486" spans="5:18" x14ac:dyDescent="0.25">
      <c r="E486" t="s">
        <v>58</v>
      </c>
    </row>
    <row r="487" spans="5:18" x14ac:dyDescent="0.25">
      <c r="G487" s="25">
        <v>1</v>
      </c>
      <c r="H487" s="25">
        <v>2</v>
      </c>
      <c r="I487" s="25">
        <v>3</v>
      </c>
      <c r="J487" s="25">
        <v>4</v>
      </c>
      <c r="K487" s="25">
        <v>5</v>
      </c>
      <c r="L487" s="25">
        <v>6</v>
      </c>
      <c r="M487" s="25">
        <v>7</v>
      </c>
      <c r="N487" s="25">
        <v>8</v>
      </c>
      <c r="O487" s="25">
        <v>9</v>
      </c>
      <c r="P487" s="25">
        <v>10</v>
      </c>
    </row>
    <row r="488" spans="5:18" ht="15.75" thickBot="1" x14ac:dyDescent="0.3">
      <c r="E488" t="s">
        <v>61</v>
      </c>
      <c r="G488">
        <f>$G484</f>
        <v>150209.78709103915</v>
      </c>
      <c r="H488">
        <f>$G484*(1+(H487-1)*$G478)</f>
        <v>200279.71612138551</v>
      </c>
      <c r="I488">
        <f t="shared" ref="I488:P488" si="146">$G484*(1+(I487-1)*$G478)</f>
        <v>250349.64515173191</v>
      </c>
      <c r="J488">
        <f t="shared" si="146"/>
        <v>300419.57418207824</v>
      </c>
      <c r="K488">
        <f t="shared" si="146"/>
        <v>350489.50321242464</v>
      </c>
      <c r="L488">
        <f t="shared" si="146"/>
        <v>400559.43224277097</v>
      </c>
      <c r="M488">
        <f t="shared" si="146"/>
        <v>450629.36127311736</v>
      </c>
      <c r="N488">
        <f t="shared" si="146"/>
        <v>500699.29030346381</v>
      </c>
      <c r="O488">
        <f t="shared" si="146"/>
        <v>550769.21933381015</v>
      </c>
      <c r="P488">
        <f t="shared" si="146"/>
        <v>600839.14836415648</v>
      </c>
    </row>
    <row r="489" spans="5:18" ht="15.75" thickBot="1" x14ac:dyDescent="0.3">
      <c r="E489" s="28">
        <f>SUM(G488:P488)-10000000*$Q483/NNNdec1_2030</f>
        <v>0</v>
      </c>
    </row>
    <row r="490" spans="5:18" x14ac:dyDescent="0.25">
      <c r="E490" t="s">
        <v>133</v>
      </c>
    </row>
    <row r="491" spans="5:18" ht="15.75" thickBot="1" x14ac:dyDescent="0.3">
      <c r="E491" t="s">
        <v>61</v>
      </c>
      <c r="G491" s="25">
        <v>1</v>
      </c>
      <c r="H491" s="25">
        <v>2</v>
      </c>
      <c r="I491" s="25">
        <v>3</v>
      </c>
      <c r="J491" s="25">
        <v>4</v>
      </c>
      <c r="K491" s="25">
        <v>5</v>
      </c>
      <c r="L491" s="25">
        <v>6</v>
      </c>
      <c r="M491" s="25">
        <v>7</v>
      </c>
      <c r="N491" s="25">
        <v>8</v>
      </c>
      <c r="O491" s="25">
        <v>9</v>
      </c>
      <c r="P491" s="25">
        <v>10</v>
      </c>
    </row>
    <row r="492" spans="5:18" ht="15.75" thickBot="1" x14ac:dyDescent="0.3">
      <c r="E492" s="28">
        <f>SUM(G492:P492)-10000000*$O483/NNNdec1_2030</f>
        <v>0</v>
      </c>
      <c r="G492">
        <f>$H484</f>
        <v>125618.00983604215</v>
      </c>
      <c r="H492">
        <f>$H484*(1+(H491-1)*$G479)</f>
        <v>190753.27419547143</v>
      </c>
      <c r="I492">
        <f t="shared" ref="I492:P492" si="147">$H484*(1+(I491-1)*$G479)</f>
        <v>255888.5385549007</v>
      </c>
      <c r="J492">
        <f t="shared" si="147"/>
        <v>321023.80291432998</v>
      </c>
      <c r="K492">
        <f t="shared" si="147"/>
        <v>386159.06727375928</v>
      </c>
      <c r="L492">
        <f t="shared" si="147"/>
        <v>451294.33163318853</v>
      </c>
      <c r="M492">
        <f t="shared" si="147"/>
        <v>516429.59599261783</v>
      </c>
      <c r="N492">
        <f t="shared" si="147"/>
        <v>581564.86035204702</v>
      </c>
      <c r="O492">
        <f t="shared" si="147"/>
        <v>646700.12471147638</v>
      </c>
      <c r="P492">
        <f t="shared" si="147"/>
        <v>711835.38907090575</v>
      </c>
    </row>
    <row r="494" spans="5:18" x14ac:dyDescent="0.25">
      <c r="E494" t="s">
        <v>59</v>
      </c>
    </row>
    <row r="495" spans="5:18" x14ac:dyDescent="0.25">
      <c r="G495" s="25">
        <v>1</v>
      </c>
      <c r="H495" s="25">
        <v>2</v>
      </c>
      <c r="I495" s="25">
        <v>3</v>
      </c>
      <c r="J495" s="25">
        <v>4</v>
      </c>
      <c r="K495" s="25">
        <v>5</v>
      </c>
      <c r="L495" s="25">
        <v>6</v>
      </c>
      <c r="M495" s="25">
        <v>7</v>
      </c>
      <c r="N495" s="25">
        <v>8</v>
      </c>
      <c r="O495" s="25">
        <v>9</v>
      </c>
      <c r="P495" s="25">
        <v>10</v>
      </c>
    </row>
    <row r="496" spans="5:18" x14ac:dyDescent="0.25">
      <c r="G496">
        <f>$I484</f>
        <v>115912.83223247739</v>
      </c>
      <c r="H496">
        <f>G496*$L484</f>
        <v>159664.76054833946</v>
      </c>
      <c r="I496">
        <f t="shared" ref="I496" si="148">H496*$L484</f>
        <v>219931.09192457286</v>
      </c>
      <c r="J496">
        <f t="shared" ref="J496" si="149">I496*$L484</f>
        <v>302945.27752409526</v>
      </c>
      <c r="K496">
        <f t="shared" ref="K496" si="150">J496*$L484</f>
        <v>417293.61851950595</v>
      </c>
      <c r="L496">
        <f t="shared" ref="L496" si="151">K496*$L484</f>
        <v>574803.36211299058</v>
      </c>
      <c r="M496">
        <f t="shared" ref="M496" si="152">L496*$L484</f>
        <v>791766.01422423532</v>
      </c>
      <c r="N496">
        <f t="shared" ref="N496" si="153">M496*$L484</f>
        <v>1090622.3981990244</v>
      </c>
      <c r="O496">
        <f t="shared" ref="O496" si="154">N496*$L484</f>
        <v>1502283.7480828348</v>
      </c>
      <c r="P496">
        <f t="shared" ref="P496" si="155">O496*$L484</f>
        <v>2069328.9111617561</v>
      </c>
    </row>
    <row r="498" spans="5:20" ht="15.75" thickBot="1" x14ac:dyDescent="0.3">
      <c r="E498" t="s">
        <v>120</v>
      </c>
      <c r="G498" s="25">
        <v>1</v>
      </c>
      <c r="H498" s="25">
        <v>2</v>
      </c>
      <c r="I498" s="25">
        <v>3</v>
      </c>
      <c r="J498" s="25">
        <v>4</v>
      </c>
      <c r="K498" s="25">
        <v>5</v>
      </c>
      <c r="L498" s="25">
        <v>6</v>
      </c>
      <c r="M498" s="25">
        <v>7</v>
      </c>
      <c r="N498" s="25">
        <v>8</v>
      </c>
      <c r="O498" s="25">
        <v>9</v>
      </c>
      <c r="P498" s="25">
        <v>10</v>
      </c>
    </row>
    <row r="499" spans="5:20" ht="19.5" thickBot="1" x14ac:dyDescent="0.35">
      <c r="E499" s="150">
        <f>SUM(G499:P499)*ndec1_2030-1000000*O485</f>
        <v>0</v>
      </c>
      <c r="G499" s="38">
        <f>G488+G492+G496</f>
        <v>391740.62915955868</v>
      </c>
      <c r="H499" s="39">
        <f t="shared" ref="H499:P499" si="156">H488+H492+H496</f>
        <v>550697.75086519634</v>
      </c>
      <c r="I499" s="39">
        <f t="shared" si="156"/>
        <v>726169.27563120541</v>
      </c>
      <c r="J499" s="39">
        <f t="shared" si="156"/>
        <v>924388.65462050354</v>
      </c>
      <c r="K499" s="39">
        <f t="shared" si="156"/>
        <v>1153942.1890056899</v>
      </c>
      <c r="L499" s="39">
        <f t="shared" si="156"/>
        <v>1426657.12598895</v>
      </c>
      <c r="M499" s="39">
        <f t="shared" si="156"/>
        <v>1758824.9714899706</v>
      </c>
      <c r="N499" s="39">
        <f t="shared" si="156"/>
        <v>2172886.5488545354</v>
      </c>
      <c r="O499" s="39">
        <f t="shared" si="156"/>
        <v>2699753.0921281213</v>
      </c>
      <c r="P499" s="40">
        <f t="shared" si="156"/>
        <v>3382003.4485968184</v>
      </c>
      <c r="Q499" t="s">
        <v>74</v>
      </c>
      <c r="T499" s="55" t="s">
        <v>163</v>
      </c>
    </row>
  </sheetData>
  <conditionalFormatting sqref="A3:XFD3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1"/>
  <dimension ref="A3:Z19"/>
  <sheetViews>
    <sheetView workbookViewId="0">
      <selection activeCell="E5" sqref="E5"/>
    </sheetView>
  </sheetViews>
  <sheetFormatPr defaultRowHeight="15" x14ac:dyDescent="0.25"/>
  <cols>
    <col min="1" max="1" width="32.42578125" customWidth="1"/>
    <col min="2" max="2" width="16" customWidth="1"/>
    <col min="3" max="3" width="15" customWidth="1"/>
    <col min="4" max="5" width="13.140625" customWidth="1"/>
    <col min="6" max="16" width="13.140625" bestFit="1" customWidth="1"/>
  </cols>
  <sheetData>
    <row r="3" spans="1:26" x14ac:dyDescent="0.25"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L3">
        <v>11</v>
      </c>
      <c r="M3">
        <v>12</v>
      </c>
      <c r="N3">
        <v>13</v>
      </c>
      <c r="O3">
        <v>14</v>
      </c>
      <c r="P3">
        <v>15</v>
      </c>
    </row>
    <row r="4" spans="1:26" x14ac:dyDescent="0.25">
      <c r="B4">
        <v>2016</v>
      </c>
      <c r="C4">
        <v>2017</v>
      </c>
      <c r="D4">
        <v>2018</v>
      </c>
      <c r="E4">
        <v>2019</v>
      </c>
      <c r="F4">
        <v>2020</v>
      </c>
      <c r="G4">
        <v>2021</v>
      </c>
      <c r="H4">
        <v>2022</v>
      </c>
      <c r="I4">
        <v>2023</v>
      </c>
      <c r="J4">
        <v>2024</v>
      </c>
      <c r="K4">
        <v>2025</v>
      </c>
      <c r="L4">
        <v>2026</v>
      </c>
      <c r="M4">
        <v>2027</v>
      </c>
      <c r="N4">
        <v>2028</v>
      </c>
      <c r="O4">
        <v>2029</v>
      </c>
      <c r="P4">
        <v>2030</v>
      </c>
    </row>
    <row r="5" spans="1:26" x14ac:dyDescent="0.25">
      <c r="B5" s="108">
        <v>105536</v>
      </c>
      <c r="C5" s="108">
        <v>129396</v>
      </c>
      <c r="D5" s="8">
        <f t="shared" ref="D5:P5" si="0">C5*(1+0.01*INDEX($N$17:$Z$19,$B$12,L15))</f>
        <v>147511.44</v>
      </c>
      <c r="E5" s="8">
        <f t="shared" si="0"/>
        <v>163737.69840000002</v>
      </c>
      <c r="F5" s="8">
        <f t="shared" si="0"/>
        <v>178474.09125600004</v>
      </c>
      <c r="G5" s="8">
        <f t="shared" si="0"/>
        <v>190967.27764392007</v>
      </c>
      <c r="H5" s="8">
        <f t="shared" si="0"/>
        <v>202425.31430255529</v>
      </c>
      <c r="I5" s="8">
        <f t="shared" si="0"/>
        <v>220643.59258978529</v>
      </c>
      <c r="J5" s="8">
        <f t="shared" si="0"/>
        <v>242707.95184876383</v>
      </c>
      <c r="K5" s="8">
        <f t="shared" si="0"/>
        <v>264551.6675151526</v>
      </c>
      <c r="L5" s="8">
        <f t="shared" si="0"/>
        <v>286562.36625241325</v>
      </c>
      <c r="M5" s="8">
        <f t="shared" si="0"/>
        <v>306621.73189008218</v>
      </c>
      <c r="N5" s="8">
        <f t="shared" si="0"/>
        <v>325019.03580348712</v>
      </c>
      <c r="O5" s="8">
        <f t="shared" si="0"/>
        <v>344520.17795169639</v>
      </c>
      <c r="P5" s="8">
        <f t="shared" si="0"/>
        <v>365191.38862879819</v>
      </c>
    </row>
    <row r="11" spans="1:26" x14ac:dyDescent="0.25">
      <c r="A11" s="148" t="s">
        <v>181</v>
      </c>
    </row>
    <row r="12" spans="1:26" ht="18" x14ac:dyDescent="0.25">
      <c r="A12" s="147" t="s">
        <v>180</v>
      </c>
      <c r="B12">
        <f>'[3]ГИПЕР-Пульт'!D3</f>
        <v>2</v>
      </c>
    </row>
    <row r="15" spans="1:26" x14ac:dyDescent="0.25">
      <c r="A15" s="21" t="s">
        <v>179</v>
      </c>
      <c r="L15">
        <v>1</v>
      </c>
      <c r="M15">
        <v>2</v>
      </c>
      <c r="N15">
        <v>3</v>
      </c>
      <c r="O15">
        <v>4</v>
      </c>
      <c r="P15">
        <v>5</v>
      </c>
      <c r="Q15">
        <v>6</v>
      </c>
      <c r="R15">
        <v>7</v>
      </c>
      <c r="S15">
        <v>8</v>
      </c>
      <c r="T15">
        <v>9</v>
      </c>
      <c r="U15">
        <v>10</v>
      </c>
      <c r="V15">
        <v>11</v>
      </c>
      <c r="W15">
        <v>12</v>
      </c>
      <c r="X15">
        <v>13</v>
      </c>
      <c r="Y15">
        <v>14</v>
      </c>
      <c r="Z15">
        <v>15</v>
      </c>
    </row>
    <row r="16" spans="1:26" x14ac:dyDescent="0.25">
      <c r="B16">
        <f>[2]Сценарии!G22</f>
        <v>2006</v>
      </c>
      <c r="C16">
        <f>[2]Сценарии!H22</f>
        <v>2007</v>
      </c>
      <c r="D16">
        <f>[2]Сценарии!I22</f>
        <v>2008</v>
      </c>
      <c r="E16">
        <f>[2]Сценарии!J22</f>
        <v>2009</v>
      </c>
      <c r="F16">
        <f>[2]Сценарии!K22</f>
        <v>2010</v>
      </c>
      <c r="G16">
        <f>[2]Сценарии!L22</f>
        <v>2011</v>
      </c>
      <c r="H16">
        <f>[2]Сценарии!M22</f>
        <v>2012</v>
      </c>
      <c r="I16">
        <f>[2]Сценарии!N22</f>
        <v>2013</v>
      </c>
      <c r="J16">
        <f>[2]Сценарии!O22</f>
        <v>2014</v>
      </c>
      <c r="K16">
        <f>[2]Сценарии!P22</f>
        <v>2015</v>
      </c>
      <c r="L16">
        <f>[2]Сценарии!Q22</f>
        <v>2016</v>
      </c>
      <c r="M16">
        <f>[2]Сценарии!R22</f>
        <v>2017</v>
      </c>
      <c r="N16">
        <f>[2]Сценарии!S22</f>
        <v>2018</v>
      </c>
      <c r="O16">
        <f>[2]Сценарии!T22</f>
        <v>2019</v>
      </c>
      <c r="P16">
        <f>[2]Сценарии!U22</f>
        <v>2020</v>
      </c>
      <c r="Q16">
        <f>[2]Сценарии!V22</f>
        <v>2021</v>
      </c>
      <c r="R16">
        <f>[2]Сценарии!W22</f>
        <v>2022</v>
      </c>
      <c r="S16">
        <f>[2]Сценарии!X22</f>
        <v>2023</v>
      </c>
      <c r="T16">
        <f>[2]Сценарии!Y22</f>
        <v>2024</v>
      </c>
      <c r="U16">
        <f>[2]Сценарии!Z22</f>
        <v>2025</v>
      </c>
      <c r="V16">
        <f>[2]Сценарии!AA22</f>
        <v>2026</v>
      </c>
      <c r="W16">
        <f>[2]Сценарии!AB22</f>
        <v>2027</v>
      </c>
      <c r="X16">
        <f>[2]Сценарии!AC22</f>
        <v>2028</v>
      </c>
      <c r="Y16">
        <f>[2]Сценарии!AD22</f>
        <v>2029</v>
      </c>
      <c r="Z16">
        <f>[2]Сценарии!AE22</f>
        <v>2030</v>
      </c>
    </row>
    <row r="17" spans="1:26" x14ac:dyDescent="0.25">
      <c r="A17" t="s">
        <v>176</v>
      </c>
      <c r="B17">
        <f>[2]Сценарии!G23</f>
        <v>9</v>
      </c>
      <c r="C17">
        <f>[2]Сценарии!H23</f>
        <v>10.9</v>
      </c>
      <c r="D17">
        <f>[2]Сценарии!I23</f>
        <v>12.6</v>
      </c>
      <c r="E17">
        <f>[2]Сценарии!J23</f>
        <v>11.4</v>
      </c>
      <c r="F17">
        <f>[2]Сценарии!K23</f>
        <v>9</v>
      </c>
      <c r="G17">
        <f>[2]Сценарии!L23</f>
        <v>7.2</v>
      </c>
      <c r="H17">
        <f>[2]Сценарии!M23</f>
        <v>8.92</v>
      </c>
      <c r="I17">
        <f>[2]Сценарии!N23</f>
        <v>8.32</v>
      </c>
      <c r="J17">
        <f>[2]Сценарии!O23</f>
        <v>11</v>
      </c>
      <c r="K17">
        <f>[2]Сценарии!P23</f>
        <v>15</v>
      </c>
      <c r="L17">
        <f>[2]Сценарии!Q23</f>
        <v>15</v>
      </c>
      <c r="M17">
        <f>[2]Сценарии!R23</f>
        <v>16</v>
      </c>
      <c r="N17">
        <f>[2]Сценарии!S23</f>
        <v>13</v>
      </c>
      <c r="O17">
        <f>[2]Сценарии!T23</f>
        <v>9</v>
      </c>
      <c r="P17">
        <f>[2]Сценарии!U23</f>
        <v>7</v>
      </c>
      <c r="Q17">
        <f>[2]Сценарии!V23</f>
        <v>6</v>
      </c>
      <c r="R17">
        <f>[2]Сценарии!W23</f>
        <v>5</v>
      </c>
      <c r="S17">
        <f>[2]Сценарии!X23</f>
        <v>7</v>
      </c>
      <c r="T17">
        <f>[2]Сценарии!Y23</f>
        <v>8</v>
      </c>
      <c r="U17">
        <f>[2]Сценарии!Z23</f>
        <v>7</v>
      </c>
      <c r="V17">
        <f>[2]Сценарии!AA23</f>
        <v>5.92</v>
      </c>
      <c r="W17">
        <f>[2]Сценарии!AB23</f>
        <v>5</v>
      </c>
      <c r="X17">
        <f>[2]Сценарии!AC23</f>
        <v>5</v>
      </c>
      <c r="Y17">
        <f>[2]Сценарии!AD23</f>
        <v>5</v>
      </c>
      <c r="Z17">
        <f>[2]Сценарии!AE23</f>
        <v>5</v>
      </c>
    </row>
    <row r="18" spans="1:26" x14ac:dyDescent="0.25">
      <c r="A18" t="s">
        <v>177</v>
      </c>
      <c r="B18">
        <f>[2]Сценарии!G24</f>
        <v>9</v>
      </c>
      <c r="C18">
        <f>[2]Сценарии!H24</f>
        <v>10.9</v>
      </c>
      <c r="D18">
        <f>[2]Сценарии!I24</f>
        <v>12.6</v>
      </c>
      <c r="E18">
        <f>[2]Сценарии!J24</f>
        <v>11.4</v>
      </c>
      <c r="F18">
        <f>[2]Сценарии!K24</f>
        <v>9</v>
      </c>
      <c r="G18">
        <f>[2]Сценарии!L24</f>
        <v>7.2</v>
      </c>
      <c r="H18">
        <f>[2]Сценарии!M24</f>
        <v>8.92</v>
      </c>
      <c r="I18">
        <f>[2]Сценарии!N24</f>
        <v>8.32</v>
      </c>
      <c r="J18">
        <f>[2]Сценарии!O24</f>
        <v>11</v>
      </c>
      <c r="K18">
        <f>[2]Сценарии!P24</f>
        <v>15</v>
      </c>
      <c r="L18">
        <f>[2]Сценарии!Q24</f>
        <v>16.5</v>
      </c>
      <c r="M18">
        <f>[2]Сценарии!R24</f>
        <v>17</v>
      </c>
      <c r="N18">
        <f>[2]Сценарии!S24</f>
        <v>14</v>
      </c>
      <c r="O18">
        <f>[2]Сценарии!T24</f>
        <v>11</v>
      </c>
      <c r="P18">
        <f>[2]Сценарии!U24</f>
        <v>9</v>
      </c>
      <c r="Q18">
        <f>[2]Сценарии!V24</f>
        <v>7</v>
      </c>
      <c r="R18">
        <f>[2]Сценарии!W24</f>
        <v>6</v>
      </c>
      <c r="S18">
        <f>[2]Сценарии!X24</f>
        <v>9</v>
      </c>
      <c r="T18">
        <f>[2]Сценарии!Y24</f>
        <v>10</v>
      </c>
      <c r="U18">
        <f>[2]Сценарии!Z24</f>
        <v>9</v>
      </c>
      <c r="V18">
        <f>[2]Сценарии!AA24</f>
        <v>8.32</v>
      </c>
      <c r="W18">
        <f>[2]Сценарии!AB24</f>
        <v>7</v>
      </c>
      <c r="X18">
        <f>[2]Сценарии!AC24</f>
        <v>6</v>
      </c>
      <c r="Y18">
        <f>[2]Сценарии!AD24</f>
        <v>6</v>
      </c>
      <c r="Z18">
        <f>[2]Сценарии!AE24</f>
        <v>6</v>
      </c>
    </row>
    <row r="19" spans="1:26" x14ac:dyDescent="0.25">
      <c r="A19" t="s">
        <v>178</v>
      </c>
      <c r="B19">
        <f>[2]Сценарии!G25</f>
        <v>9</v>
      </c>
      <c r="C19">
        <f>[2]Сценарии!H25</f>
        <v>10.9</v>
      </c>
      <c r="D19">
        <f>[2]Сценарии!I25</f>
        <v>12.6</v>
      </c>
      <c r="E19">
        <f>[2]Сценарии!J25</f>
        <v>11.4</v>
      </c>
      <c r="F19">
        <f>[2]Сценарии!K25</f>
        <v>9</v>
      </c>
      <c r="G19">
        <f>[2]Сценарии!L25</f>
        <v>7.2</v>
      </c>
      <c r="H19">
        <f>[2]Сценарии!M25</f>
        <v>8.92</v>
      </c>
      <c r="I19">
        <f>[2]Сценарии!N25</f>
        <v>8.32</v>
      </c>
      <c r="J19">
        <f>[2]Сценарии!O25</f>
        <v>11</v>
      </c>
      <c r="K19">
        <f>[2]Сценарии!P25</f>
        <v>15</v>
      </c>
      <c r="L19">
        <f>[2]Сценарии!Q25</f>
        <v>18</v>
      </c>
      <c r="M19">
        <f>[2]Сценарии!R25</f>
        <v>18</v>
      </c>
      <c r="N19">
        <f>[2]Сценарии!S25</f>
        <v>16</v>
      </c>
      <c r="O19">
        <f>[2]Сценарии!T25</f>
        <v>14</v>
      </c>
      <c r="P19">
        <f>[2]Сценарии!U25</f>
        <v>12</v>
      </c>
      <c r="Q19">
        <f>[2]Сценарии!V25</f>
        <v>10</v>
      </c>
      <c r="R19">
        <f>[2]Сценарии!W25</f>
        <v>8</v>
      </c>
      <c r="S19">
        <f>[2]Сценарии!X25</f>
        <v>11</v>
      </c>
      <c r="T19">
        <f>[2]Сценарии!Y25</f>
        <v>12.5</v>
      </c>
      <c r="U19">
        <f>[2]Сценарии!Z25</f>
        <v>11</v>
      </c>
      <c r="V19">
        <f>[2]Сценарии!AA25</f>
        <v>9.52</v>
      </c>
      <c r="W19">
        <f>[2]Сценарии!AB25</f>
        <v>8</v>
      </c>
      <c r="X19">
        <f>[2]Сценарии!AC25</f>
        <v>8</v>
      </c>
      <c r="Y19">
        <f>[2]Сценарии!AD25</f>
        <v>8</v>
      </c>
      <c r="Z19">
        <f>[2]Сценарии!AE25</f>
        <v>8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2:N499"/>
  <sheetViews>
    <sheetView tabSelected="1" topLeftCell="A163" zoomScale="130" zoomScaleNormal="130" workbookViewId="0">
      <selection activeCell="D75" sqref="D75"/>
    </sheetView>
  </sheetViews>
  <sheetFormatPr defaultRowHeight="15" x14ac:dyDescent="0.25"/>
  <cols>
    <col min="2" max="2" width="33.140625" customWidth="1"/>
    <col min="3" max="3" width="19.7109375" customWidth="1"/>
    <col min="4" max="4" width="12.28515625" customWidth="1"/>
    <col min="6" max="6" width="10.7109375" customWidth="1"/>
  </cols>
  <sheetData>
    <row r="2" spans="1:14" x14ac:dyDescent="0.25">
      <c r="B2" t="s">
        <v>160</v>
      </c>
    </row>
    <row r="3" spans="1:14" ht="15.75" thickBot="1" x14ac:dyDescent="0.3">
      <c r="C3" s="25">
        <v>1</v>
      </c>
      <c r="D3" s="25">
        <v>2</v>
      </c>
      <c r="E3" s="25">
        <v>3</v>
      </c>
      <c r="F3" s="25">
        <v>4</v>
      </c>
      <c r="G3" s="25">
        <v>5</v>
      </c>
      <c r="H3" s="25">
        <v>6</v>
      </c>
      <c r="I3" s="25">
        <v>7</v>
      </c>
      <c r="J3" s="25">
        <v>8</v>
      </c>
      <c r="K3" s="25">
        <v>9</v>
      </c>
      <c r="L3" s="25">
        <v>10</v>
      </c>
    </row>
    <row r="4" spans="1:14" ht="15.75" thickBot="1" x14ac:dyDescent="0.3">
      <c r="B4" t="s">
        <v>70</v>
      </c>
      <c r="C4" s="38">
        <v>0.49</v>
      </c>
      <c r="D4" s="39">
        <v>0.87</v>
      </c>
      <c r="E4" s="39">
        <v>1.1100000000000001</v>
      </c>
      <c r="F4" s="39">
        <v>1.39</v>
      </c>
      <c r="G4" s="39">
        <v>1.75</v>
      </c>
      <c r="H4" s="39">
        <v>2.21</v>
      </c>
      <c r="I4" s="39">
        <v>2.81</v>
      </c>
      <c r="J4" s="39">
        <v>3.8</v>
      </c>
      <c r="K4" s="39">
        <v>4.91</v>
      </c>
      <c r="L4" s="40">
        <v>7.72</v>
      </c>
    </row>
    <row r="5" spans="1:14" x14ac:dyDescent="0.25">
      <c r="B5" t="s">
        <v>71</v>
      </c>
      <c r="C5" s="50">
        <v>12.4</v>
      </c>
      <c r="D5" s="10">
        <v>12.4</v>
      </c>
      <c r="E5" s="10">
        <v>12.3</v>
      </c>
      <c r="F5" s="10">
        <v>12.2</v>
      </c>
      <c r="G5" s="10">
        <v>12.1</v>
      </c>
      <c r="H5" s="10">
        <v>12</v>
      </c>
      <c r="I5" s="10">
        <v>12</v>
      </c>
      <c r="J5" s="10">
        <v>11.9</v>
      </c>
      <c r="K5" s="10">
        <v>11.8</v>
      </c>
      <c r="L5" s="51">
        <v>11.7</v>
      </c>
    </row>
    <row r="6" spans="1:14" x14ac:dyDescent="0.25">
      <c r="B6" t="s">
        <v>72</v>
      </c>
      <c r="C6" s="50">
        <v>3.26</v>
      </c>
      <c r="D6" s="10">
        <v>3.5</v>
      </c>
      <c r="E6" s="10">
        <v>3.7</v>
      </c>
      <c r="F6" s="10">
        <v>3.9</v>
      </c>
      <c r="G6" s="10">
        <v>4.0999999999999996</v>
      </c>
      <c r="H6" s="10">
        <v>4.5</v>
      </c>
      <c r="I6" s="10">
        <v>5.4</v>
      </c>
      <c r="J6" s="10">
        <v>6.4</v>
      </c>
      <c r="K6" s="10">
        <v>9.25</v>
      </c>
      <c r="L6" s="51">
        <v>13.6</v>
      </c>
    </row>
    <row r="7" spans="1:14" ht="15.75" thickBot="1" x14ac:dyDescent="0.3">
      <c r="B7" t="s">
        <v>73</v>
      </c>
      <c r="C7" s="52">
        <f>100-C5-C6</f>
        <v>84.339999999999989</v>
      </c>
      <c r="D7" s="53">
        <f t="shared" ref="D7:L7" si="0">100-D5-D6</f>
        <v>84.1</v>
      </c>
      <c r="E7" s="53">
        <f t="shared" si="0"/>
        <v>84</v>
      </c>
      <c r="F7" s="53">
        <f t="shared" si="0"/>
        <v>83.899999999999991</v>
      </c>
      <c r="G7" s="53">
        <f t="shared" si="0"/>
        <v>83.800000000000011</v>
      </c>
      <c r="H7" s="53">
        <f t="shared" si="0"/>
        <v>83.5</v>
      </c>
      <c r="I7" s="53">
        <f t="shared" si="0"/>
        <v>82.6</v>
      </c>
      <c r="J7" s="53">
        <f t="shared" si="0"/>
        <v>81.699999999999989</v>
      </c>
      <c r="K7" s="53">
        <f t="shared" si="0"/>
        <v>78.95</v>
      </c>
      <c r="L7" s="54">
        <f t="shared" si="0"/>
        <v>74.7</v>
      </c>
    </row>
    <row r="10" spans="1:14" ht="18.75" x14ac:dyDescent="0.3">
      <c r="B10" s="56">
        <v>2016</v>
      </c>
    </row>
    <row r="11" spans="1:14" x14ac:dyDescent="0.25">
      <c r="C11" s="25">
        <v>1</v>
      </c>
      <c r="D11" s="25">
        <v>2</v>
      </c>
      <c r="E11" s="25">
        <v>3</v>
      </c>
      <c r="F11" s="25">
        <v>4</v>
      </c>
      <c r="G11" s="25">
        <v>5</v>
      </c>
      <c r="H11" s="25">
        <v>6</v>
      </c>
      <c r="I11" s="25">
        <v>7</v>
      </c>
      <c r="J11" s="25">
        <v>8</v>
      </c>
      <c r="K11" s="25">
        <v>9</v>
      </c>
      <c r="L11" s="25">
        <v>10</v>
      </c>
    </row>
    <row r="12" spans="1:14" x14ac:dyDescent="0.25">
      <c r="B12" t="s">
        <v>79</v>
      </c>
      <c r="C12">
        <f>INDEX(decdoh2016,'матрица расходов'!C11)/расслоение!$M54</f>
        <v>0.72602026253758711</v>
      </c>
      <c r="D12">
        <f>INDEX(decdoh2016,'матрица расходов'!D11)/расслоение!$M54</f>
        <v>1.0333205267965058</v>
      </c>
      <c r="E12">
        <f>INDEX(decdoh2016,'матрица расходов'!E11)/расслоение!$M54</f>
        <v>1.3628787467916579</v>
      </c>
      <c r="F12">
        <f>INDEX(decdoh2016,'матрица расходов'!F11)/расслоение!$M54</f>
        <v>1.7228222105139503</v>
      </c>
      <c r="G12">
        <f>INDEX(decdoh2016,'матрица расходов'!G11)/расслоение!$M54</f>
        <v>2.1242458104760091</v>
      </c>
      <c r="H12">
        <f>INDEX(decdoh2016,'матрица расходов'!H11)/расслоение!$M54</f>
        <v>2.5822956372315962</v>
      </c>
      <c r="I12">
        <f>INDEX(decdoh2016,'матрица расходов'!I11)/расслоение!$M54</f>
        <v>3.11764823711062</v>
      </c>
      <c r="J12">
        <f>INDEX(decdoh2016,'матрица расходов'!J11)/расслоение!$M54</f>
        <v>3.7585300073220167</v>
      </c>
      <c r="K12">
        <f>INDEX(decdoh2016,'матрица расходов'!K11)/расслоение!$M54</f>
        <v>4.5434739546205947</v>
      </c>
      <c r="L12">
        <f>INDEX(decdoh2016,'матрица расходов'!L11)/расслоение!$M54</f>
        <v>5.5250830590670237</v>
      </c>
    </row>
    <row r="13" spans="1:14" ht="15.75" thickBot="1" x14ac:dyDescent="0.3">
      <c r="N13" s="89" t="s">
        <v>159</v>
      </c>
    </row>
    <row r="14" spans="1:14" x14ac:dyDescent="0.25">
      <c r="A14" s="57" t="s">
        <v>80</v>
      </c>
      <c r="B14" t="s">
        <v>71</v>
      </c>
      <c r="C14">
        <f>IF($A15&lt;=C$4,C$5,0)</f>
        <v>0</v>
      </c>
      <c r="D14">
        <f>IF($A15&gt;C$4,IF($A15&lt;=D$4,C$5+(D$5-C$5)*($A15-C$4)/(D$4-C$4),0),0)</f>
        <v>12.4</v>
      </c>
      <c r="E14">
        <f>IF($A15&gt;D$4,IF($A15&lt;=E$4,D$5+(E$5-D$5)*($A15-D$4)/(E$4-D$4),0),0)</f>
        <v>0</v>
      </c>
      <c r="F14">
        <f t="shared" ref="F14:K14" si="1">IF($A15&gt;E$4,IF($A15&lt;=F$4,E$5+(F$5-E$5)*($A15-E$4)/(F$4-E$4),0),0)</f>
        <v>0</v>
      </c>
      <c r="G14">
        <f t="shared" si="1"/>
        <v>0</v>
      </c>
      <c r="H14">
        <f t="shared" si="1"/>
        <v>0</v>
      </c>
      <c r="I14">
        <f t="shared" si="1"/>
        <v>0</v>
      </c>
      <c r="J14">
        <f t="shared" si="1"/>
        <v>0</v>
      </c>
      <c r="K14">
        <f t="shared" si="1"/>
        <v>0</v>
      </c>
      <c r="L14">
        <f>IF($A15&gt;K$4,IF($A15&lt;=L$4,K$5+(L$5-K$5)*($A15-K$4)/(L$4-K$4),L$5),0)</f>
        <v>0</v>
      </c>
      <c r="M14" s="32">
        <f t="shared" ref="M14:M33" si="2">SUM(C14:L14)</f>
        <v>12.4</v>
      </c>
    </row>
    <row r="15" spans="1:14" ht="15.75" thickBot="1" x14ac:dyDescent="0.3">
      <c r="A15">
        <f>C12</f>
        <v>0.72602026253758711</v>
      </c>
      <c r="B15" t="s">
        <v>72</v>
      </c>
      <c r="C15">
        <f>IF($A15&lt;=C$4,C$6,0)</f>
        <v>0</v>
      </c>
      <c r="D15">
        <f>IF($A15&gt;C$4,IF($A15&lt;=D$4,C$6+(D$6-C$6)*($A15-C$4)/(D$4-C$4),0),0)</f>
        <v>3.4090654289711075</v>
      </c>
      <c r="E15">
        <f t="shared" ref="E15:K15" si="3">IF($A15&gt;D$4,IF($A15&lt;=E$4,D$6+(E$6-D$6)*($A15-D$4)/(E$4-D$4),0),0)</f>
        <v>0</v>
      </c>
      <c r="F15">
        <f t="shared" si="3"/>
        <v>0</v>
      </c>
      <c r="G15">
        <f t="shared" si="3"/>
        <v>0</v>
      </c>
      <c r="H15">
        <f t="shared" si="3"/>
        <v>0</v>
      </c>
      <c r="I15">
        <f t="shared" si="3"/>
        <v>0</v>
      </c>
      <c r="J15">
        <f t="shared" si="3"/>
        <v>0</v>
      </c>
      <c r="K15">
        <f t="shared" si="3"/>
        <v>0</v>
      </c>
      <c r="L15">
        <f>IF($A15&gt;K$4,IF($A15&lt;=L$4,K$6+(L$6-K$6)*($A15-K$4)/(L$4-K$4),L$6),0)</f>
        <v>0</v>
      </c>
      <c r="M15" s="34">
        <f t="shared" si="2"/>
        <v>3.4090654289711075</v>
      </c>
    </row>
    <row r="16" spans="1:14" x14ac:dyDescent="0.25">
      <c r="A16" s="57" t="s">
        <v>81</v>
      </c>
      <c r="B16" t="s">
        <v>71</v>
      </c>
      <c r="C16">
        <f>IF($A17&lt;=C$4,C$5,0)</f>
        <v>0</v>
      </c>
      <c r="D16">
        <f>IF($A17&gt;C$4,IF($A17&lt;=D$4,C$5+(D$5-C$5)*($A17-C$4)/(D$4-C$4),0),0)</f>
        <v>0</v>
      </c>
      <c r="E16">
        <f>IF($A17&gt;D$4,IF($A17&lt;=E$4,D$5+(E$5-D$5)*($A17-D$4)/(E$4-D$4),0),0)</f>
        <v>12.331949780501457</v>
      </c>
      <c r="F16">
        <f t="shared" ref="F16" si="4">IF($A17&gt;E$4,IF($A17&lt;=F$4,E$5+(F$5-E$5)*($A17-E$4)/(F$4-E$4),0),0)</f>
        <v>0</v>
      </c>
      <c r="G16">
        <f t="shared" ref="G16" si="5">IF($A17&gt;F$4,IF($A17&lt;=G$4,F$5+(G$5-F$5)*($A17-F$4)/(G$4-F$4),0),0)</f>
        <v>0</v>
      </c>
      <c r="H16">
        <f t="shared" ref="H16" si="6">IF($A17&gt;G$4,IF($A17&lt;=H$4,G$5+(H$5-G$5)*($A17-G$4)/(H$4-G$4),0),0)</f>
        <v>0</v>
      </c>
      <c r="I16">
        <f t="shared" ref="I16" si="7">IF($A17&gt;H$4,IF($A17&lt;=I$4,H$5+(I$5-H$5)*($A17-H$4)/(I$4-H$4),0),0)</f>
        <v>0</v>
      </c>
      <c r="J16">
        <f t="shared" ref="J16" si="8">IF($A17&gt;I$4,IF($A17&lt;=J$4,I$5+(J$5-I$5)*($A17-I$4)/(J$4-I$4),0),0)</f>
        <v>0</v>
      </c>
      <c r="K16">
        <f t="shared" ref="K16" si="9">IF($A17&gt;J$4,IF($A17&lt;=K$4,J$5+(K$5-J$5)*($A17-J$4)/(K$4-J$4),0),0)</f>
        <v>0</v>
      </c>
      <c r="L16">
        <f>IF($A17&gt;K$4,IF($A17&lt;=L$4,K$5+(L$5-K$5)*($A17-K$4)/(L$4-K$4),L$5),0)</f>
        <v>0</v>
      </c>
      <c r="M16" s="32">
        <f t="shared" si="2"/>
        <v>12.331949780501457</v>
      </c>
    </row>
    <row r="17" spans="1:13" ht="15.75" thickBot="1" x14ac:dyDescent="0.3">
      <c r="A17">
        <f>D12</f>
        <v>1.0333205267965058</v>
      </c>
      <c r="B17" t="s">
        <v>72</v>
      </c>
      <c r="C17">
        <f>IF($A17&lt;=C$4,C$6,0)</f>
        <v>0</v>
      </c>
      <c r="D17">
        <f>IF($A17&gt;C$4,IF($A17&lt;=D$4,C$6+(D$6-C$6)*($A17-C$4)/(D$4-C$4),0),0)</f>
        <v>0</v>
      </c>
      <c r="E17">
        <f t="shared" ref="E17:K17" si="10">IF($A17&gt;D$4,IF($A17&lt;=E$4,D$6+(E$6-D$6)*($A17-D$4)/(E$4-D$4),0),0)</f>
        <v>3.6361004389970883</v>
      </c>
      <c r="F17">
        <f t="shared" si="10"/>
        <v>0</v>
      </c>
      <c r="G17">
        <f t="shared" si="10"/>
        <v>0</v>
      </c>
      <c r="H17">
        <f t="shared" si="10"/>
        <v>0</v>
      </c>
      <c r="I17">
        <f t="shared" si="10"/>
        <v>0</v>
      </c>
      <c r="J17">
        <f t="shared" si="10"/>
        <v>0</v>
      </c>
      <c r="K17">
        <f t="shared" si="10"/>
        <v>0</v>
      </c>
      <c r="L17">
        <f>IF($A17&gt;K$4,IF($A17&lt;=L$4,K$6+(L$6-K$6)*($A17-K$4)/(L$4-K$4),L$6),0)</f>
        <v>0</v>
      </c>
      <c r="M17" s="34">
        <f t="shared" si="2"/>
        <v>3.6361004389970883</v>
      </c>
    </row>
    <row r="18" spans="1:13" x14ac:dyDescent="0.25">
      <c r="A18" s="57" t="s">
        <v>82</v>
      </c>
      <c r="B18" t="s">
        <v>71</v>
      </c>
      <c r="C18">
        <f>IF($A19&lt;=C$4,C$5,0)</f>
        <v>0</v>
      </c>
      <c r="D18">
        <f>IF($A19&gt;C$4,IF($A19&lt;=D$4,C$5+(D$5-C$5)*($A19-C$4)/(D$4-C$4),0),0)</f>
        <v>0</v>
      </c>
      <c r="E18">
        <f>IF($A19&gt;D$4,IF($A19&lt;=E$4,D$5+(E$5-D$5)*($A19-D$4)/(E$4-D$4),0),0)</f>
        <v>0</v>
      </c>
      <c r="F18">
        <f t="shared" ref="F18" si="11">IF($A19&gt;E$4,IF($A19&lt;=F$4,E$5+(F$5-E$5)*($A19-E$4)/(F$4-E$4),0),0)</f>
        <v>12.209686161860121</v>
      </c>
      <c r="G18">
        <f t="shared" ref="G18" si="12">IF($A19&gt;F$4,IF($A19&lt;=G$4,F$5+(G$5-F$5)*($A19-F$4)/(G$4-F$4),0),0)</f>
        <v>0</v>
      </c>
      <c r="H18">
        <f t="shared" ref="H18" si="13">IF($A19&gt;G$4,IF($A19&lt;=H$4,G$5+(H$5-G$5)*($A19-G$4)/(H$4-G$4),0),0)</f>
        <v>0</v>
      </c>
      <c r="I18">
        <f t="shared" ref="I18" si="14">IF($A19&gt;H$4,IF($A19&lt;=I$4,H$5+(I$5-H$5)*($A19-H$4)/(I$4-H$4),0),0)</f>
        <v>0</v>
      </c>
      <c r="J18">
        <f t="shared" ref="J18" si="15">IF($A19&gt;I$4,IF($A19&lt;=J$4,I$5+(J$5-I$5)*($A19-I$4)/(J$4-I$4),0),0)</f>
        <v>0</v>
      </c>
      <c r="K18">
        <f t="shared" ref="K18" si="16">IF($A19&gt;J$4,IF($A19&lt;=K$4,J$5+(K$5-J$5)*($A19-J$4)/(K$4-J$4),0),0)</f>
        <v>0</v>
      </c>
      <c r="L18">
        <f>IF($A19&gt;K$4,IF($A19&lt;=L$4,K$5+(L$5-K$5)*($A19-K$4)/(L$4-K$4),L$5),0)</f>
        <v>0</v>
      </c>
      <c r="M18" s="32">
        <f t="shared" si="2"/>
        <v>12.209686161860121</v>
      </c>
    </row>
    <row r="19" spans="1:13" ht="15.75" thickBot="1" x14ac:dyDescent="0.3">
      <c r="A19">
        <f>E12</f>
        <v>1.3628787467916579</v>
      </c>
      <c r="B19" t="s">
        <v>72</v>
      </c>
      <c r="C19">
        <f>IF($A19&lt;=C$4,C$6,0)</f>
        <v>0</v>
      </c>
      <c r="D19">
        <f>IF($A19&gt;C$4,IF($A19&lt;=D$4,C$6+(D$6-C$6)*($A19-C$4)/(D$4-C$4),0),0)</f>
        <v>0</v>
      </c>
      <c r="E19">
        <f t="shared" ref="E19:K19" si="17">IF($A19&gt;D$4,IF($A19&lt;=E$4,D$6+(E$6-D$6)*($A19-D$4)/(E$4-D$4),0),0)</f>
        <v>0</v>
      </c>
      <c r="F19">
        <f t="shared" si="17"/>
        <v>3.8806276762797558</v>
      </c>
      <c r="G19">
        <f t="shared" si="17"/>
        <v>0</v>
      </c>
      <c r="H19">
        <f t="shared" si="17"/>
        <v>0</v>
      </c>
      <c r="I19">
        <f t="shared" si="17"/>
        <v>0</v>
      </c>
      <c r="J19">
        <f t="shared" si="17"/>
        <v>0</v>
      </c>
      <c r="K19">
        <f t="shared" si="17"/>
        <v>0</v>
      </c>
      <c r="L19">
        <f>IF($A19&gt;K$4,IF($A19&lt;=L$4,K$6+(L$6-K$6)*($A19-K$4)/(L$4-K$4),L$6),0)</f>
        <v>0</v>
      </c>
      <c r="M19" s="34">
        <f t="shared" si="2"/>
        <v>3.8806276762797558</v>
      </c>
    </row>
    <row r="20" spans="1:13" x14ac:dyDescent="0.25">
      <c r="A20" s="57" t="s">
        <v>83</v>
      </c>
      <c r="B20" t="s">
        <v>71</v>
      </c>
      <c r="C20">
        <f>IF($A21&lt;=C$4,C$5,0)</f>
        <v>0</v>
      </c>
      <c r="D20">
        <f>IF($A21&gt;C$4,IF($A21&lt;=D$4,C$5+(D$5-C$5)*($A21-C$4)/(D$4-C$4),0),0)</f>
        <v>0</v>
      </c>
      <c r="E20">
        <f>IF($A21&gt;D$4,IF($A21&lt;=E$4,D$5+(E$5-D$5)*($A21-D$4)/(E$4-D$4),0),0)</f>
        <v>0</v>
      </c>
      <c r="F20">
        <f t="shared" ref="F20" si="18">IF($A21&gt;E$4,IF($A21&lt;=F$4,E$5+(F$5-E$5)*($A21-E$4)/(F$4-E$4),0),0)</f>
        <v>0</v>
      </c>
      <c r="G20">
        <f t="shared" ref="G20" si="19">IF($A21&gt;F$4,IF($A21&lt;=G$4,F$5+(G$5-F$5)*($A21-F$4)/(G$4-F$4),0),0)</f>
        <v>12.107549385968348</v>
      </c>
      <c r="H20">
        <f t="shared" ref="H20" si="20">IF($A21&gt;G$4,IF($A21&lt;=H$4,G$5+(H$5-G$5)*($A21-G$4)/(H$4-G$4),0),0)</f>
        <v>0</v>
      </c>
      <c r="I20">
        <f t="shared" ref="I20" si="21">IF($A21&gt;H$4,IF($A21&lt;=I$4,H$5+(I$5-H$5)*($A21-H$4)/(I$4-H$4),0),0)</f>
        <v>0</v>
      </c>
      <c r="J20">
        <f t="shared" ref="J20" si="22">IF($A21&gt;I$4,IF($A21&lt;=J$4,I$5+(J$5-I$5)*($A21-I$4)/(J$4-I$4),0),0)</f>
        <v>0</v>
      </c>
      <c r="K20">
        <f t="shared" ref="K20" si="23">IF($A21&gt;J$4,IF($A21&lt;=K$4,J$5+(K$5-J$5)*($A21-J$4)/(K$4-J$4),0),0)</f>
        <v>0</v>
      </c>
      <c r="L20">
        <f>IF($A21&gt;K$4,IF($A21&lt;=L$4,K$5+(L$5-K$5)*($A21-K$4)/(L$4-K$4),L$5),0)</f>
        <v>0</v>
      </c>
      <c r="M20" s="32">
        <f t="shared" si="2"/>
        <v>12.107549385968348</v>
      </c>
    </row>
    <row r="21" spans="1:13" ht="15.75" thickBot="1" x14ac:dyDescent="0.3">
      <c r="A21">
        <f>F12</f>
        <v>1.7228222105139503</v>
      </c>
      <c r="B21" t="s">
        <v>72</v>
      </c>
      <c r="C21">
        <f>IF($A21&lt;=C$4,C$6,0)</f>
        <v>0</v>
      </c>
      <c r="D21">
        <f>IF($A21&gt;C$4,IF($A21&lt;=D$4,C$6+(D$6-C$6)*($A21-C$4)/(D$4-C$4),0),0)</f>
        <v>0</v>
      </c>
      <c r="E21">
        <f t="shared" ref="E21:K21" si="24">IF($A21&gt;D$4,IF($A21&lt;=E$4,D$6+(E$6-D$6)*($A21-D$4)/(E$4-D$4),0),0)</f>
        <v>0</v>
      </c>
      <c r="F21">
        <f t="shared" si="24"/>
        <v>0</v>
      </c>
      <c r="G21">
        <f t="shared" si="24"/>
        <v>4.0849012280633055</v>
      </c>
      <c r="H21">
        <f t="shared" si="24"/>
        <v>0</v>
      </c>
      <c r="I21">
        <f t="shared" si="24"/>
        <v>0</v>
      </c>
      <c r="J21">
        <f t="shared" si="24"/>
        <v>0</v>
      </c>
      <c r="K21">
        <f t="shared" si="24"/>
        <v>0</v>
      </c>
      <c r="L21">
        <f>IF($A21&gt;K$4,IF($A21&lt;=L$4,K$6+(L$6-K$6)*($A21-K$4)/(L$4-K$4),L$6),0)</f>
        <v>0</v>
      </c>
      <c r="M21" s="34">
        <f t="shared" si="2"/>
        <v>4.0849012280633055</v>
      </c>
    </row>
    <row r="22" spans="1:13" x14ac:dyDescent="0.25">
      <c r="A22" s="57" t="s">
        <v>84</v>
      </c>
      <c r="B22" t="s">
        <v>71</v>
      </c>
      <c r="C22">
        <f>IF($A23&lt;=C$4,C$5,0)</f>
        <v>0</v>
      </c>
      <c r="D22">
        <f>IF($A23&gt;C$4,IF($A23&lt;=D$4,C$5+(D$5-C$5)*($A23-C$4)/(D$4-C$4),0),0)</f>
        <v>0</v>
      </c>
      <c r="E22">
        <f>IF($A23&gt;D$4,IF($A23&lt;=E$4,D$5+(E$5-D$5)*($A23-D$4)/(E$4-D$4),0),0)</f>
        <v>0</v>
      </c>
      <c r="F22">
        <f t="shared" ref="F22" si="25">IF($A23&gt;E$4,IF($A23&lt;=F$4,E$5+(F$5-E$5)*($A23-E$4)/(F$4-E$4),0),0)</f>
        <v>0</v>
      </c>
      <c r="G22">
        <f t="shared" ref="G22" si="26">IF($A23&gt;F$4,IF($A23&lt;=G$4,F$5+(G$5-F$5)*($A23-F$4)/(G$4-F$4),0),0)</f>
        <v>0</v>
      </c>
      <c r="H22">
        <f t="shared" ref="H22" si="27">IF($A23&gt;G$4,IF($A23&lt;=H$4,G$5+(H$5-G$5)*($A23-G$4)/(H$4-G$4),0),0)</f>
        <v>12.018642215113911</v>
      </c>
      <c r="I22">
        <f t="shared" ref="I22" si="28">IF($A23&gt;H$4,IF($A23&lt;=I$4,H$5+(I$5-H$5)*($A23-H$4)/(I$4-H$4),0),0)</f>
        <v>0</v>
      </c>
      <c r="J22">
        <f t="shared" ref="J22" si="29">IF($A23&gt;I$4,IF($A23&lt;=J$4,I$5+(J$5-I$5)*($A23-I$4)/(J$4-I$4),0),0)</f>
        <v>0</v>
      </c>
      <c r="K22">
        <f t="shared" ref="K22" si="30">IF($A23&gt;J$4,IF($A23&lt;=K$4,J$5+(K$5-J$5)*($A23-J$4)/(K$4-J$4),0),0)</f>
        <v>0</v>
      </c>
      <c r="L22">
        <f>IF($A23&gt;K$4,IF($A23&lt;=L$4,K$5+(L$5-K$5)*($A23-K$4)/(L$4-K$4),L$5),0)</f>
        <v>0</v>
      </c>
      <c r="M22" s="32">
        <f t="shared" si="2"/>
        <v>12.018642215113911</v>
      </c>
    </row>
    <row r="23" spans="1:13" ht="15.75" thickBot="1" x14ac:dyDescent="0.3">
      <c r="A23">
        <f>G12</f>
        <v>2.1242458104760091</v>
      </c>
      <c r="B23" t="s">
        <v>72</v>
      </c>
      <c r="C23">
        <f>IF($A23&lt;=C$4,C$6,0)</f>
        <v>0</v>
      </c>
      <c r="D23">
        <f>IF($A23&gt;C$4,IF($A23&lt;=D$4,C$6+(D$6-C$6)*($A23-C$4)/(D$4-C$4),0),0)</f>
        <v>0</v>
      </c>
      <c r="E23">
        <f t="shared" ref="E23:K23" si="31">IF($A23&gt;D$4,IF($A23&lt;=E$4,D$6+(E$6-D$6)*($A23-D$4)/(E$4-D$4),0),0)</f>
        <v>0</v>
      </c>
      <c r="F23">
        <f t="shared" si="31"/>
        <v>0</v>
      </c>
      <c r="G23">
        <f t="shared" si="31"/>
        <v>0</v>
      </c>
      <c r="H23">
        <f t="shared" si="31"/>
        <v>4.4254311395443562</v>
      </c>
      <c r="I23">
        <f t="shared" si="31"/>
        <v>0</v>
      </c>
      <c r="J23">
        <f t="shared" si="31"/>
        <v>0</v>
      </c>
      <c r="K23">
        <f t="shared" si="31"/>
        <v>0</v>
      </c>
      <c r="L23">
        <f>IF($A23&gt;K$4,IF($A23&lt;=L$4,K$6+(L$6-K$6)*($A23-K$4)/(L$4-K$4),L$6),0)</f>
        <v>0</v>
      </c>
      <c r="M23" s="34">
        <f t="shared" si="2"/>
        <v>4.4254311395443562</v>
      </c>
    </row>
    <row r="24" spans="1:13" x14ac:dyDescent="0.25">
      <c r="A24" s="57" t="s">
        <v>85</v>
      </c>
      <c r="B24" t="s">
        <v>71</v>
      </c>
      <c r="C24">
        <f>IF($A25&lt;=C$4,C$5,0)</f>
        <v>0</v>
      </c>
      <c r="D24">
        <f>IF($A25&gt;C$4,IF($A25&lt;=D$4,C$5+(D$5-C$5)*($A25-C$4)/(D$4-C$4),0),0)</f>
        <v>0</v>
      </c>
      <c r="E24">
        <f>IF($A25&gt;D$4,IF($A25&lt;=E$4,D$5+(E$5-D$5)*($A25-D$4)/(E$4-D$4),0),0)</f>
        <v>0</v>
      </c>
      <c r="F24">
        <f t="shared" ref="F24" si="32">IF($A25&gt;E$4,IF($A25&lt;=F$4,E$5+(F$5-E$5)*($A25-E$4)/(F$4-E$4),0),0)</f>
        <v>0</v>
      </c>
      <c r="G24">
        <f t="shared" ref="G24" si="33">IF($A25&gt;F$4,IF($A25&lt;=G$4,F$5+(G$5-F$5)*($A25-F$4)/(G$4-F$4),0),0)</f>
        <v>0</v>
      </c>
      <c r="H24">
        <f t="shared" ref="H24" si="34">IF($A25&gt;G$4,IF($A25&lt;=H$4,G$5+(H$5-G$5)*($A25-G$4)/(H$4-G$4),0),0)</f>
        <v>0</v>
      </c>
      <c r="I24">
        <f t="shared" ref="I24" si="35">IF($A25&gt;H$4,IF($A25&lt;=I$4,H$5+(I$5-H$5)*($A25-H$4)/(I$4-H$4),0),0)</f>
        <v>12</v>
      </c>
      <c r="J24">
        <f t="shared" ref="J24" si="36">IF($A25&gt;I$4,IF($A25&lt;=J$4,I$5+(J$5-I$5)*($A25-I$4)/(J$4-I$4),0),0)</f>
        <v>0</v>
      </c>
      <c r="K24">
        <f t="shared" ref="K24" si="37">IF($A25&gt;J$4,IF($A25&lt;=K$4,J$5+(K$5-J$5)*($A25-J$4)/(K$4-J$4),0),0)</f>
        <v>0</v>
      </c>
      <c r="L24">
        <f>IF($A25&gt;K$4,IF($A25&lt;=L$4,K$5+(L$5-K$5)*($A25-K$4)/(L$4-K$4),L$5),0)</f>
        <v>0</v>
      </c>
      <c r="M24" s="32">
        <f t="shared" si="2"/>
        <v>12</v>
      </c>
    </row>
    <row r="25" spans="1:13" ht="15.75" thickBot="1" x14ac:dyDescent="0.3">
      <c r="A25">
        <f>H12</f>
        <v>2.5822956372315962</v>
      </c>
      <c r="B25" t="s">
        <v>72</v>
      </c>
      <c r="C25">
        <f>IF($A25&lt;=C$4,C$6,0)</f>
        <v>0</v>
      </c>
      <c r="D25">
        <f>IF($A25&gt;C$4,IF($A25&lt;=D$4,C$6+(D$6-C$6)*($A25-C$4)/(D$4-C$4),0),0)</f>
        <v>0</v>
      </c>
      <c r="E25">
        <f t="shared" ref="E25:K25" si="38">IF($A25&gt;D$4,IF($A25&lt;=E$4,D$6+(E$6-D$6)*($A25-D$4)/(E$4-D$4),0),0)</f>
        <v>0</v>
      </c>
      <c r="F25">
        <f t="shared" si="38"/>
        <v>0</v>
      </c>
      <c r="G25">
        <f t="shared" si="38"/>
        <v>0</v>
      </c>
      <c r="H25">
        <f t="shared" si="38"/>
        <v>0</v>
      </c>
      <c r="I25">
        <f t="shared" si="38"/>
        <v>5.0584434558473941</v>
      </c>
      <c r="J25">
        <f t="shared" si="38"/>
        <v>0</v>
      </c>
      <c r="K25">
        <f t="shared" si="38"/>
        <v>0</v>
      </c>
      <c r="L25">
        <f>IF($A25&gt;K$4,IF($A25&lt;=L$4,K$6+(L$6-K$6)*($A25-K$4)/(L$4-K$4),L$6),0)</f>
        <v>0</v>
      </c>
      <c r="M25" s="34">
        <f t="shared" si="2"/>
        <v>5.0584434558473941</v>
      </c>
    </row>
    <row r="26" spans="1:13" x14ac:dyDescent="0.25">
      <c r="A26" s="57" t="s">
        <v>86</v>
      </c>
      <c r="B26" t="s">
        <v>71</v>
      </c>
      <c r="C26">
        <f>IF($A27&lt;=C$4,C$5,0)</f>
        <v>0</v>
      </c>
      <c r="D26">
        <f>IF($A27&gt;C$4,IF($A27&lt;=D$4,C$5+(D$5-C$5)*($A27-C$4)/(D$4-C$4),0),0)</f>
        <v>0</v>
      </c>
      <c r="E26">
        <f>IF($A27&gt;D$4,IF($A27&lt;=E$4,D$5+(E$5-D$5)*($A27-D$4)/(E$4-D$4),0),0)</f>
        <v>0</v>
      </c>
      <c r="F26">
        <f t="shared" ref="F26" si="39">IF($A27&gt;E$4,IF($A27&lt;=F$4,E$5+(F$5-E$5)*($A27-E$4)/(F$4-E$4),0),0)</f>
        <v>0</v>
      </c>
      <c r="G26">
        <f t="shared" ref="G26" si="40">IF($A27&gt;F$4,IF($A27&lt;=G$4,F$5+(G$5-F$5)*($A27-F$4)/(G$4-F$4),0),0)</f>
        <v>0</v>
      </c>
      <c r="H26">
        <f t="shared" ref="H26" si="41">IF($A27&gt;G$4,IF($A27&lt;=H$4,G$5+(H$5-G$5)*($A27-G$4)/(H$4-G$4),0),0)</f>
        <v>0</v>
      </c>
      <c r="I26">
        <f t="shared" ref="I26" si="42">IF($A27&gt;H$4,IF($A27&lt;=I$4,H$5+(I$5-H$5)*($A27-H$4)/(I$4-H$4),0),0)</f>
        <v>0</v>
      </c>
      <c r="J26">
        <f t="shared" ref="J26" si="43">IF($A27&gt;I$4,IF($A27&lt;=J$4,I$5+(J$5-I$5)*($A27-I$4)/(J$4-I$4),0),0)</f>
        <v>11.968924420493877</v>
      </c>
      <c r="K26">
        <f t="shared" ref="K26" si="44">IF($A27&gt;J$4,IF($A27&lt;=K$4,J$5+(K$5-J$5)*($A27-J$4)/(K$4-J$4),0),0)</f>
        <v>0</v>
      </c>
      <c r="L26">
        <f>IF($A27&gt;K$4,IF($A27&lt;=L$4,K$5+(L$5-K$5)*($A27-K$4)/(L$4-K$4),L$5),0)</f>
        <v>0</v>
      </c>
      <c r="M26" s="32">
        <f t="shared" si="2"/>
        <v>11.968924420493877</v>
      </c>
    </row>
    <row r="27" spans="1:13" ht="15.75" thickBot="1" x14ac:dyDescent="0.3">
      <c r="A27">
        <f>I12</f>
        <v>3.11764823711062</v>
      </c>
      <c r="B27" t="s">
        <v>72</v>
      </c>
      <c r="C27">
        <f>IF($A27&lt;=C$4,C$6,0)</f>
        <v>0</v>
      </c>
      <c r="D27">
        <f>IF($A27&gt;C$4,IF($A27&lt;=D$4,C$6+(D$6-C$6)*($A27-C$4)/(D$4-C$4),0),0)</f>
        <v>0</v>
      </c>
      <c r="E27">
        <f t="shared" ref="E27:K27" si="45">IF($A27&gt;D$4,IF($A27&lt;=E$4,D$6+(E$6-D$6)*($A27-D$4)/(E$4-D$4),0),0)</f>
        <v>0</v>
      </c>
      <c r="F27">
        <f t="shared" si="45"/>
        <v>0</v>
      </c>
      <c r="G27">
        <f t="shared" si="45"/>
        <v>0</v>
      </c>
      <c r="H27">
        <f t="shared" si="45"/>
        <v>0</v>
      </c>
      <c r="I27">
        <f t="shared" si="45"/>
        <v>0</v>
      </c>
      <c r="J27">
        <f t="shared" si="45"/>
        <v>5.7107557950612327</v>
      </c>
      <c r="K27">
        <f t="shared" si="45"/>
        <v>0</v>
      </c>
      <c r="L27">
        <f>IF($A27&gt;K$4,IF($A27&lt;=L$4,K$6+(L$6-K$6)*($A27-K$4)/(L$4-K$4),L$6),0)</f>
        <v>0</v>
      </c>
      <c r="M27" s="34">
        <f t="shared" si="2"/>
        <v>5.7107557950612327</v>
      </c>
    </row>
    <row r="28" spans="1:13" x14ac:dyDescent="0.25">
      <c r="A28" s="57" t="s">
        <v>87</v>
      </c>
      <c r="B28" t="s">
        <v>71</v>
      </c>
      <c r="C28">
        <f>IF($A29&lt;=C$4,C$5,0)</f>
        <v>0</v>
      </c>
      <c r="D28">
        <f>IF($A29&gt;C$4,IF($A29&lt;=D$4,C$5+(D$5-C$5)*($A29-C$4)/(D$4-C$4),0),0)</f>
        <v>0</v>
      </c>
      <c r="E28">
        <f>IF($A29&gt;D$4,IF($A29&lt;=E$4,D$5+(E$5-D$5)*($A29-D$4)/(E$4-D$4),0),0)</f>
        <v>0</v>
      </c>
      <c r="F28">
        <f t="shared" ref="F28" si="46">IF($A29&gt;E$4,IF($A29&lt;=F$4,E$5+(F$5-E$5)*($A29-E$4)/(F$4-E$4),0),0)</f>
        <v>0</v>
      </c>
      <c r="G28">
        <f t="shared" ref="G28" si="47">IF($A29&gt;F$4,IF($A29&lt;=G$4,F$5+(G$5-F$5)*($A29-F$4)/(G$4-F$4),0),0)</f>
        <v>0</v>
      </c>
      <c r="H28">
        <f t="shared" ref="H28" si="48">IF($A29&gt;G$4,IF($A29&lt;=H$4,G$5+(H$5-G$5)*($A29-G$4)/(H$4-G$4),0),0)</f>
        <v>0</v>
      </c>
      <c r="I28">
        <f t="shared" ref="I28" si="49">IF($A29&gt;H$4,IF($A29&lt;=I$4,H$5+(I$5-H$5)*($A29-H$4)/(I$4-H$4),0),0)</f>
        <v>0</v>
      </c>
      <c r="J28">
        <f t="shared" ref="J28" si="50">IF($A29&gt;I$4,IF($A29&lt;=J$4,I$5+(J$5-I$5)*($A29-I$4)/(J$4-I$4),0),0)</f>
        <v>11.904188888149292</v>
      </c>
      <c r="K28">
        <f t="shared" ref="K28" si="51">IF($A29&gt;J$4,IF($A29&lt;=K$4,J$5+(K$5-J$5)*($A29-J$4)/(K$4-J$4),0),0)</f>
        <v>0</v>
      </c>
      <c r="L28">
        <f>IF($A29&gt;K$4,IF($A29&lt;=L$4,K$5+(L$5-K$5)*($A29-K$4)/(L$4-K$4),L$5),0)</f>
        <v>0</v>
      </c>
      <c r="M28" s="32">
        <f t="shared" si="2"/>
        <v>11.904188888149292</v>
      </c>
    </row>
    <row r="29" spans="1:13" ht="15.75" thickBot="1" x14ac:dyDescent="0.3">
      <c r="A29">
        <f>J12</f>
        <v>3.7585300073220167</v>
      </c>
      <c r="B29" t="s">
        <v>72</v>
      </c>
      <c r="C29">
        <f>IF($A29&lt;=C$4,C$6,0)</f>
        <v>0</v>
      </c>
      <c r="D29">
        <f>IF($A29&gt;C$4,IF($A29&lt;=D$4,C$6+(D$6-C$6)*($A29-C$4)/(D$4-C$4),0),0)</f>
        <v>0</v>
      </c>
      <c r="E29">
        <f t="shared" ref="E29:K29" si="52">IF($A29&gt;D$4,IF($A29&lt;=E$4,D$6+(E$6-D$6)*($A29-D$4)/(E$4-D$4),0),0)</f>
        <v>0</v>
      </c>
      <c r="F29">
        <f t="shared" si="52"/>
        <v>0</v>
      </c>
      <c r="G29">
        <f t="shared" si="52"/>
        <v>0</v>
      </c>
      <c r="H29">
        <f t="shared" si="52"/>
        <v>0</v>
      </c>
      <c r="I29">
        <f t="shared" si="52"/>
        <v>0</v>
      </c>
      <c r="J29">
        <f t="shared" si="52"/>
        <v>6.3581111185070878</v>
      </c>
      <c r="K29">
        <f t="shared" si="52"/>
        <v>0</v>
      </c>
      <c r="L29">
        <f>IF($A29&gt;K$4,IF($A29&lt;=L$4,K$6+(L$6-K$6)*($A29-K$4)/(L$4-K$4),L$6),0)</f>
        <v>0</v>
      </c>
      <c r="M29" s="34">
        <f t="shared" si="2"/>
        <v>6.3581111185070878</v>
      </c>
    </row>
    <row r="30" spans="1:13" x14ac:dyDescent="0.25">
      <c r="A30" s="57" t="s">
        <v>88</v>
      </c>
      <c r="B30" t="s">
        <v>71</v>
      </c>
      <c r="C30">
        <f>IF($A31&lt;=C$4,C$5,0)</f>
        <v>0</v>
      </c>
      <c r="D30">
        <f>IF($A31&gt;C$4,IF($A31&lt;=D$4,C$5+(D$5-C$5)*($A31-C$4)/(D$4-C$4),0),0)</f>
        <v>0</v>
      </c>
      <c r="E30">
        <f>IF($A31&gt;D$4,IF($A31&lt;=E$4,D$5+(E$5-D$5)*($A31-D$4)/(E$4-D$4),0),0)</f>
        <v>0</v>
      </c>
      <c r="F30">
        <f t="shared" ref="F30" si="53">IF($A31&gt;E$4,IF($A31&lt;=F$4,E$5+(F$5-E$5)*($A31-E$4)/(F$4-E$4),0),0)</f>
        <v>0</v>
      </c>
      <c r="G30">
        <f t="shared" ref="G30" si="54">IF($A31&gt;F$4,IF($A31&lt;=G$4,F$5+(G$5-F$5)*($A31-F$4)/(G$4-F$4),0),0)</f>
        <v>0</v>
      </c>
      <c r="H30">
        <f t="shared" ref="H30" si="55">IF($A31&gt;G$4,IF($A31&lt;=H$4,G$5+(H$5-G$5)*($A31-G$4)/(H$4-G$4),0),0)</f>
        <v>0</v>
      </c>
      <c r="I30">
        <f t="shared" ref="I30" si="56">IF($A31&gt;H$4,IF($A31&lt;=I$4,H$5+(I$5-H$5)*($A31-H$4)/(I$4-H$4),0),0)</f>
        <v>0</v>
      </c>
      <c r="J30">
        <f t="shared" ref="J30" si="57">IF($A31&gt;I$4,IF($A31&lt;=J$4,I$5+(J$5-I$5)*($A31-I$4)/(J$4-I$4),0),0)</f>
        <v>0</v>
      </c>
      <c r="K30">
        <f t="shared" ref="K30" si="58">IF($A31&gt;J$4,IF($A31&lt;=K$4,J$5+(K$5-J$5)*($A31-J$4)/(K$4-J$4),0),0)</f>
        <v>11.833020364448595</v>
      </c>
      <c r="L30">
        <f>IF($A31&gt;K$4,IF($A31&lt;=L$4,K$5+(L$5-K$5)*($A31-K$4)/(L$4-K$4),L$5),0)</f>
        <v>0</v>
      </c>
      <c r="M30" s="32">
        <f t="shared" si="2"/>
        <v>11.833020364448595</v>
      </c>
    </row>
    <row r="31" spans="1:13" ht="15.75" thickBot="1" x14ac:dyDescent="0.3">
      <c r="A31">
        <f>K12</f>
        <v>4.5434739546205947</v>
      </c>
      <c r="B31" t="s">
        <v>72</v>
      </c>
      <c r="C31">
        <f>IF($A31&lt;=C$4,C$6,0)</f>
        <v>0</v>
      </c>
      <c r="D31">
        <f>IF($A31&gt;C$4,IF($A31&lt;=D$4,C$6+(D$6-C$6)*($A31-C$4)/(D$4-C$4),0),0)</f>
        <v>0</v>
      </c>
      <c r="E31">
        <f t="shared" ref="E31:K31" si="59">IF($A31&gt;D$4,IF($A31&lt;=E$4,D$6+(E$6-D$6)*($A31-D$4)/(E$4-D$4),0),0)</f>
        <v>0</v>
      </c>
      <c r="F31">
        <f t="shared" si="59"/>
        <v>0</v>
      </c>
      <c r="G31">
        <f t="shared" si="59"/>
        <v>0</v>
      </c>
      <c r="H31">
        <f t="shared" si="59"/>
        <v>0</v>
      </c>
      <c r="I31">
        <f t="shared" si="59"/>
        <v>0</v>
      </c>
      <c r="J31">
        <f t="shared" si="59"/>
        <v>0</v>
      </c>
      <c r="K31">
        <f t="shared" si="59"/>
        <v>8.3089196132150409</v>
      </c>
      <c r="L31">
        <f>IF($A31&gt;K$4,IF($A31&lt;=L$4,K$6+(L$6-K$6)*($A31-K$4)/(L$4-K$4),L$6),0)</f>
        <v>0</v>
      </c>
      <c r="M31" s="34">
        <f t="shared" si="2"/>
        <v>8.3089196132150409</v>
      </c>
    </row>
    <row r="32" spans="1:13" x14ac:dyDescent="0.25">
      <c r="A32" s="57" t="s">
        <v>89</v>
      </c>
      <c r="B32" t="s">
        <v>71</v>
      </c>
      <c r="C32">
        <f>IF($A33&lt;=C$4,C$5,0)</f>
        <v>0</v>
      </c>
      <c r="D32">
        <f>IF($A33&gt;C$4,IF($A33&lt;=D$4,C$5+(D$5-C$5)*($A33-C$4)/(D$4-C$4),0),0)</f>
        <v>0</v>
      </c>
      <c r="E32">
        <f>IF($A33&gt;D$4,IF($A33&lt;=E$4,D$5+(E$5-D$5)*($A33-D$4)/(E$4-D$4),0),0)</f>
        <v>0</v>
      </c>
      <c r="F32">
        <f t="shared" ref="F32" si="60">IF($A33&gt;E$4,IF($A33&lt;=F$4,E$5+(F$5-E$5)*($A33-E$4)/(F$4-E$4),0),0)</f>
        <v>0</v>
      </c>
      <c r="G32">
        <f t="shared" ref="G32" si="61">IF($A33&gt;F$4,IF($A33&lt;=G$4,F$5+(G$5-F$5)*($A33-F$4)/(G$4-F$4),0),0)</f>
        <v>0</v>
      </c>
      <c r="H32">
        <f t="shared" ref="H32" si="62">IF($A33&gt;G$4,IF($A33&lt;=H$4,G$5+(H$5-G$5)*($A33-G$4)/(H$4-G$4),0),0)</f>
        <v>0</v>
      </c>
      <c r="I32">
        <f t="shared" ref="I32" si="63">IF($A33&gt;H$4,IF($A33&lt;=I$4,H$5+(I$5-H$5)*($A33-H$4)/(I$4-H$4),0),0)</f>
        <v>0</v>
      </c>
      <c r="J32">
        <f t="shared" ref="J32" si="64">IF($A33&gt;I$4,IF($A33&lt;=J$4,I$5+(J$5-I$5)*($A33-I$4)/(J$4-I$4),0),0)</f>
        <v>0</v>
      </c>
      <c r="K32">
        <f t="shared" ref="K32" si="65">IF($A33&gt;J$4,IF($A33&lt;=K$4,J$5+(K$5-J$5)*($A33-J$4)/(K$4-J$4),0),0)</f>
        <v>0</v>
      </c>
      <c r="L32">
        <f>IF($A33&gt;K$4,IF($A33&lt;=L$4,K$5+(L$5-K$5)*($A33-K$4)/(L$4-K$4),L$5),0)</f>
        <v>11.778110923164874</v>
      </c>
      <c r="M32" s="32">
        <f t="shared" si="2"/>
        <v>11.778110923164874</v>
      </c>
    </row>
    <row r="33" spans="1:13" ht="15.75" thickBot="1" x14ac:dyDescent="0.3">
      <c r="A33">
        <f>L12</f>
        <v>5.5250830590670237</v>
      </c>
      <c r="B33" t="s">
        <v>72</v>
      </c>
      <c r="C33">
        <f>IF($A33&lt;=C$4,C$6,0)</f>
        <v>0</v>
      </c>
      <c r="D33">
        <f>IF($A33&gt;C$4,IF($A33&lt;=D$4,C$6+(D$6-C$6)*($A33-C$4)/(D$4-C$4),0),0)</f>
        <v>0</v>
      </c>
      <c r="E33">
        <f t="shared" ref="E33:K33" si="66">IF($A33&gt;D$4,IF($A33&lt;=E$4,D$6+(E$6-D$6)*($A33-D$4)/(E$4-D$4),0),0)</f>
        <v>0</v>
      </c>
      <c r="F33">
        <f t="shared" si="66"/>
        <v>0</v>
      </c>
      <c r="G33">
        <f t="shared" si="66"/>
        <v>0</v>
      </c>
      <c r="H33">
        <f t="shared" si="66"/>
        <v>0</v>
      </c>
      <c r="I33">
        <f t="shared" si="66"/>
        <v>0</v>
      </c>
      <c r="J33">
        <f t="shared" si="66"/>
        <v>0</v>
      </c>
      <c r="K33">
        <f t="shared" si="66"/>
        <v>0</v>
      </c>
      <c r="L33">
        <f>IF($A33&gt;K$4,IF($A33&lt;=L$4,K$6+(L$6-K$6)*($A33-K$4)/(L$4-K$4),L$6),0)</f>
        <v>10.202174842327954</v>
      </c>
      <c r="M33" s="34">
        <f t="shared" si="2"/>
        <v>10.202174842327954</v>
      </c>
    </row>
    <row r="35" spans="1:13" x14ac:dyDescent="0.25">
      <c r="B35" t="s">
        <v>90</v>
      </c>
    </row>
    <row r="36" spans="1:13" ht="15.75" thickBot="1" x14ac:dyDescent="0.3">
      <c r="C36" s="25">
        <v>1</v>
      </c>
      <c r="D36" s="25">
        <v>2</v>
      </c>
      <c r="E36" s="25">
        <v>3</v>
      </c>
      <c r="F36" s="25">
        <v>4</v>
      </c>
      <c r="G36" s="25">
        <v>5</v>
      </c>
      <c r="H36" s="25">
        <v>6</v>
      </c>
      <c r="I36" s="25">
        <v>7</v>
      </c>
      <c r="J36" s="25">
        <v>8</v>
      </c>
      <c r="K36" s="25">
        <v>9</v>
      </c>
      <c r="L36" s="25">
        <v>10</v>
      </c>
    </row>
    <row r="37" spans="1:13" x14ac:dyDescent="0.25">
      <c r="B37" t="s">
        <v>71</v>
      </c>
      <c r="C37" s="58">
        <f>M14</f>
        <v>12.4</v>
      </c>
      <c r="D37" s="59">
        <f>M16</f>
        <v>12.331949780501457</v>
      </c>
      <c r="E37" s="59">
        <f>M18</f>
        <v>12.209686161860121</v>
      </c>
      <c r="F37" s="59">
        <f>M20</f>
        <v>12.107549385968348</v>
      </c>
      <c r="G37" s="59">
        <f>M22</f>
        <v>12.018642215113911</v>
      </c>
      <c r="H37" s="59">
        <f>M24</f>
        <v>12</v>
      </c>
      <c r="I37" s="59">
        <f>M26</f>
        <v>11.968924420493877</v>
      </c>
      <c r="J37" s="59">
        <f>M28</f>
        <v>11.904188888149292</v>
      </c>
      <c r="K37" s="59">
        <f>M30</f>
        <v>11.833020364448595</v>
      </c>
      <c r="L37" s="60">
        <f>M32</f>
        <v>11.778110923164874</v>
      </c>
    </row>
    <row r="38" spans="1:13" ht="15.75" thickBot="1" x14ac:dyDescent="0.3">
      <c r="B38" t="s">
        <v>72</v>
      </c>
      <c r="C38" s="52">
        <f>M15</f>
        <v>3.4090654289711075</v>
      </c>
      <c r="D38" s="53">
        <f t="shared" ref="D38" si="67">M17</f>
        <v>3.6361004389970883</v>
      </c>
      <c r="E38" s="53">
        <f>M19</f>
        <v>3.8806276762797558</v>
      </c>
      <c r="F38" s="53">
        <f>M21</f>
        <v>4.0849012280633055</v>
      </c>
      <c r="G38" s="53">
        <f>M23</f>
        <v>4.4254311395443562</v>
      </c>
      <c r="H38" s="53">
        <f>M25</f>
        <v>5.0584434558473941</v>
      </c>
      <c r="I38" s="53">
        <f>M27</f>
        <v>5.7107557950612327</v>
      </c>
      <c r="J38" s="53">
        <f>M29</f>
        <v>6.3581111185070878</v>
      </c>
      <c r="K38" s="53">
        <f>M31</f>
        <v>8.3089196132150409</v>
      </c>
      <c r="L38" s="54">
        <f>M33</f>
        <v>10.202174842327954</v>
      </c>
    </row>
    <row r="39" spans="1:13" x14ac:dyDescent="0.25">
      <c r="B39" t="s">
        <v>161</v>
      </c>
      <c r="C39">
        <f>100-C37-C38</f>
        <v>84.19093457102889</v>
      </c>
      <c r="D39">
        <f t="shared" ref="D39:L39" si="68">100-D37-D38</f>
        <v>84.031949780501449</v>
      </c>
      <c r="E39">
        <f t="shared" si="68"/>
        <v>83.909686161860122</v>
      </c>
      <c r="F39">
        <f t="shared" si="68"/>
        <v>83.807549385968343</v>
      </c>
      <c r="G39">
        <f t="shared" si="68"/>
        <v>83.555926645341728</v>
      </c>
      <c r="H39">
        <f t="shared" si="68"/>
        <v>82.941556544152604</v>
      </c>
      <c r="I39">
        <f t="shared" si="68"/>
        <v>82.320319784444891</v>
      </c>
      <c r="J39">
        <f t="shared" si="68"/>
        <v>81.737699993343625</v>
      </c>
      <c r="K39">
        <f t="shared" si="68"/>
        <v>79.85806002233636</v>
      </c>
      <c r="L39">
        <f t="shared" si="68"/>
        <v>78.019714234507177</v>
      </c>
    </row>
    <row r="41" spans="1:13" ht="18.75" x14ac:dyDescent="0.3">
      <c r="B41" s="56">
        <v>2017</v>
      </c>
    </row>
    <row r="42" spans="1:13" x14ac:dyDescent="0.25">
      <c r="C42" s="25">
        <v>1</v>
      </c>
      <c r="D42" s="25">
        <v>2</v>
      </c>
      <c r="E42" s="25">
        <v>3</v>
      </c>
      <c r="F42" s="25">
        <v>4</v>
      </c>
      <c r="G42" s="25">
        <v>5</v>
      </c>
      <c r="H42" s="25">
        <v>6</v>
      </c>
      <c r="I42" s="25">
        <v>7</v>
      </c>
      <c r="J42" s="25">
        <v>8</v>
      </c>
      <c r="K42" s="25">
        <v>9</v>
      </c>
      <c r="L42" s="25">
        <v>10</v>
      </c>
    </row>
    <row r="43" spans="1:13" x14ac:dyDescent="0.25">
      <c r="B43" t="s">
        <v>79</v>
      </c>
      <c r="C43">
        <f>INDEX(decdoh2017,'матрица расходов'!C42)/расслоение!$M84</f>
        <v>0.5829007467637376</v>
      </c>
      <c r="D43">
        <f>INDEX(decdoh2017,'матрица расходов'!D42)/расслоение!$M84</f>
        <v>0.83394646071577039</v>
      </c>
      <c r="E43">
        <f>INDEX(decdoh2017,'матрица расходов'!E42)/расслоение!$M84</f>
        <v>1.1032914137281091</v>
      </c>
      <c r="F43">
        <f>INDEX(decdoh2017,'матрица расходов'!F42)/расслоение!$M84</f>
        <v>1.3980831498106299</v>
      </c>
      <c r="G43">
        <f>INDEX(decdoh2017,'матрица расходов'!G42)/расслоение!$M84</f>
        <v>1.7282609894620966</v>
      </c>
      <c r="H43">
        <f>INDEX(decdoh2017,'матрица расходов'!H42)/расслоение!$M84</f>
        <v>2.1076464763960794</v>
      </c>
      <c r="I43">
        <f>INDEX(decdoh2017,'матрица расходов'!I42)/расслоение!$M84</f>
        <v>2.5554597444889189</v>
      </c>
      <c r="J43">
        <f>INDEX(decdoh2017,'матрица расходов'!J42)/расслоение!$M84</f>
        <v>3.0984281661586301</v>
      </c>
      <c r="K43">
        <f>INDEX(decdoh2017,'матрица расходов'!K42)/расслоение!$M84</f>
        <v>3.773718622810271</v>
      </c>
      <c r="L43">
        <f>INDEX(decdoh2017,'матрица расходов'!L42)/расслоение!$M84</f>
        <v>4.6330150978812341</v>
      </c>
    </row>
    <row r="44" spans="1:13" ht="15.75" thickBot="1" x14ac:dyDescent="0.3"/>
    <row r="45" spans="1:13" x14ac:dyDescent="0.25">
      <c r="A45" s="57" t="s">
        <v>80</v>
      </c>
      <c r="B45" t="s">
        <v>71</v>
      </c>
      <c r="C45">
        <f>IF($A46&lt;=C$4,C$5,0)</f>
        <v>0</v>
      </c>
      <c r="D45">
        <f>IF($A46&gt;C$4,IF($A46&lt;=D$4,C$5+(D$5-C$5)*($A46-C$4)/(D$4-C$4),0),0)</f>
        <v>12.4</v>
      </c>
      <c r="E45">
        <f>IF($A46&gt;D$4,IF($A46&lt;=E$4,D$5+(E$5-D$5)*($A46-D$4)/(E$4-D$4),0),0)</f>
        <v>0</v>
      </c>
      <c r="F45">
        <f t="shared" ref="F45" si="69">IF($A46&gt;E$4,IF($A46&lt;=F$4,E$5+(F$5-E$5)*($A46-E$4)/(F$4-E$4),0),0)</f>
        <v>0</v>
      </c>
      <c r="G45">
        <f t="shared" ref="G45" si="70">IF($A46&gt;F$4,IF($A46&lt;=G$4,F$5+(G$5-F$5)*($A46-F$4)/(G$4-F$4),0),0)</f>
        <v>0</v>
      </c>
      <c r="H45">
        <f t="shared" ref="H45" si="71">IF($A46&gt;G$4,IF($A46&lt;=H$4,G$5+(H$5-G$5)*($A46-G$4)/(H$4-G$4),0),0)</f>
        <v>0</v>
      </c>
      <c r="I45">
        <f t="shared" ref="I45" si="72">IF($A46&gt;H$4,IF($A46&lt;=I$4,H$5+(I$5-H$5)*($A46-H$4)/(I$4-H$4),0),0)</f>
        <v>0</v>
      </c>
      <c r="J45">
        <f t="shared" ref="J45" si="73">IF($A46&gt;I$4,IF($A46&lt;=J$4,I$5+(J$5-I$5)*($A46-I$4)/(J$4-I$4),0),0)</f>
        <v>0</v>
      </c>
      <c r="K45">
        <f t="shared" ref="K45" si="74">IF($A46&gt;J$4,IF($A46&lt;=K$4,J$5+(K$5-J$5)*($A46-J$4)/(K$4-J$4),0),0)</f>
        <v>0</v>
      </c>
      <c r="L45">
        <f>IF($A46&gt;K$4,IF($A46&lt;=L$4,K$5+(L$5-K$5)*($A46-K$4)/(L$4-K$4),L$5),0)</f>
        <v>0</v>
      </c>
      <c r="M45" s="32">
        <f t="shared" ref="M45:M64" si="75">SUM(C45:L45)</f>
        <v>12.4</v>
      </c>
    </row>
    <row r="46" spans="1:13" ht="15.75" thickBot="1" x14ac:dyDescent="0.3">
      <c r="A46">
        <f>C43</f>
        <v>0.5829007467637376</v>
      </c>
      <c r="B46" t="s">
        <v>72</v>
      </c>
      <c r="C46">
        <f>IF($A46&lt;=C$4,C$6,0)</f>
        <v>0</v>
      </c>
      <c r="D46">
        <f>IF($A46&gt;C$4,IF($A46&lt;=D$4,C$6+(D$6-C$6)*($A46-C$4)/(D$4-C$4),0),0)</f>
        <v>3.3186741558507813</v>
      </c>
      <c r="E46">
        <f t="shared" ref="E46:K46" si="76">IF($A46&gt;D$4,IF($A46&lt;=E$4,D$6+(E$6-D$6)*($A46-D$4)/(E$4-D$4),0),0)</f>
        <v>0</v>
      </c>
      <c r="F46">
        <f t="shared" si="76"/>
        <v>0</v>
      </c>
      <c r="G46">
        <f t="shared" si="76"/>
        <v>0</v>
      </c>
      <c r="H46">
        <f t="shared" si="76"/>
        <v>0</v>
      </c>
      <c r="I46">
        <f t="shared" si="76"/>
        <v>0</v>
      </c>
      <c r="J46">
        <f t="shared" si="76"/>
        <v>0</v>
      </c>
      <c r="K46">
        <f t="shared" si="76"/>
        <v>0</v>
      </c>
      <c r="L46">
        <f>IF($A46&gt;K$4,IF($A46&lt;=L$4,K$6+(L$6-K$6)*($A46-K$4)/(L$4-K$4),L$6),0)</f>
        <v>0</v>
      </c>
      <c r="M46" s="34">
        <f t="shared" si="75"/>
        <v>3.3186741558507813</v>
      </c>
    </row>
    <row r="47" spans="1:13" x14ac:dyDescent="0.25">
      <c r="A47" s="57" t="s">
        <v>81</v>
      </c>
      <c r="B47" t="s">
        <v>71</v>
      </c>
      <c r="C47">
        <f>IF($A48&lt;=C$4,C$5,0)</f>
        <v>0</v>
      </c>
      <c r="D47">
        <f>IF($A48&gt;C$4,IF($A48&lt;=D$4,C$5+(D$5-C$5)*($A48-C$4)/(D$4-C$4),0),0)</f>
        <v>12.4</v>
      </c>
      <c r="E47">
        <f>IF($A48&gt;D$4,IF($A48&lt;=E$4,D$5+(E$5-D$5)*($A48-D$4)/(E$4-D$4),0),0)</f>
        <v>0</v>
      </c>
      <c r="F47">
        <f t="shared" ref="F47" si="77">IF($A48&gt;E$4,IF($A48&lt;=F$4,E$5+(F$5-E$5)*($A48-E$4)/(F$4-E$4),0),0)</f>
        <v>0</v>
      </c>
      <c r="G47">
        <f t="shared" ref="G47" si="78">IF($A48&gt;F$4,IF($A48&lt;=G$4,F$5+(G$5-F$5)*($A48-F$4)/(G$4-F$4),0),0)</f>
        <v>0</v>
      </c>
      <c r="H47">
        <f t="shared" ref="H47" si="79">IF($A48&gt;G$4,IF($A48&lt;=H$4,G$5+(H$5-G$5)*($A48-G$4)/(H$4-G$4),0),0)</f>
        <v>0</v>
      </c>
      <c r="I47">
        <f t="shared" ref="I47" si="80">IF($A48&gt;H$4,IF($A48&lt;=I$4,H$5+(I$5-H$5)*($A48-H$4)/(I$4-H$4),0),0)</f>
        <v>0</v>
      </c>
      <c r="J47">
        <f t="shared" ref="J47" si="81">IF($A48&gt;I$4,IF($A48&lt;=J$4,I$5+(J$5-I$5)*($A48-I$4)/(J$4-I$4),0),0)</f>
        <v>0</v>
      </c>
      <c r="K47">
        <f t="shared" ref="K47" si="82">IF($A48&gt;J$4,IF($A48&lt;=K$4,J$5+(K$5-J$5)*($A48-J$4)/(K$4-J$4),0),0)</f>
        <v>0</v>
      </c>
      <c r="L47">
        <f>IF($A48&gt;K$4,IF($A48&lt;=L$4,K$5+(L$5-K$5)*($A48-K$4)/(L$4-K$4),L$5),0)</f>
        <v>0</v>
      </c>
      <c r="M47" s="32">
        <f t="shared" si="75"/>
        <v>12.4</v>
      </c>
    </row>
    <row r="48" spans="1:13" ht="15.75" thickBot="1" x14ac:dyDescent="0.3">
      <c r="A48">
        <f>D43</f>
        <v>0.83394646071577039</v>
      </c>
      <c r="B48" t="s">
        <v>72</v>
      </c>
      <c r="C48">
        <f>IF($A48&lt;=C$4,C$6,0)</f>
        <v>0</v>
      </c>
      <c r="D48">
        <f>IF($A48&gt;C$4,IF($A48&lt;=D$4,C$6+(D$6-C$6)*($A48-C$4)/(D$4-C$4),0),0)</f>
        <v>3.4772293436099604</v>
      </c>
      <c r="E48">
        <f t="shared" ref="E48:K48" si="83">IF($A48&gt;D$4,IF($A48&lt;=E$4,D$6+(E$6-D$6)*($A48-D$4)/(E$4-D$4),0),0)</f>
        <v>0</v>
      </c>
      <c r="F48">
        <f t="shared" si="83"/>
        <v>0</v>
      </c>
      <c r="G48">
        <f t="shared" si="83"/>
        <v>0</v>
      </c>
      <c r="H48">
        <f t="shared" si="83"/>
        <v>0</v>
      </c>
      <c r="I48">
        <f t="shared" si="83"/>
        <v>0</v>
      </c>
      <c r="J48">
        <f t="shared" si="83"/>
        <v>0</v>
      </c>
      <c r="K48">
        <f t="shared" si="83"/>
        <v>0</v>
      </c>
      <c r="L48">
        <f>IF($A48&gt;K$4,IF($A48&lt;=L$4,K$6+(L$6-K$6)*($A48-K$4)/(L$4-K$4),L$6),0)</f>
        <v>0</v>
      </c>
      <c r="M48" s="34">
        <f t="shared" si="75"/>
        <v>3.4772293436099604</v>
      </c>
    </row>
    <row r="49" spans="1:13" x14ac:dyDescent="0.25">
      <c r="A49" s="57" t="s">
        <v>82</v>
      </c>
      <c r="B49" t="s">
        <v>71</v>
      </c>
      <c r="C49">
        <f>IF($A50&lt;=C$4,C$5,0)</f>
        <v>0</v>
      </c>
      <c r="D49">
        <f>IF($A50&gt;C$4,IF($A50&lt;=D$4,C$5+(D$5-C$5)*($A50-C$4)/(D$4-C$4),0),0)</f>
        <v>0</v>
      </c>
      <c r="E49">
        <f>IF($A50&gt;D$4,IF($A50&lt;=E$4,D$5+(E$5-D$5)*($A50-D$4)/(E$4-D$4),0),0)</f>
        <v>12.302795244279956</v>
      </c>
      <c r="F49">
        <f t="shared" ref="F49" si="84">IF($A50&gt;E$4,IF($A50&lt;=F$4,E$5+(F$5-E$5)*($A50-E$4)/(F$4-E$4),0),0)</f>
        <v>0</v>
      </c>
      <c r="G49">
        <f t="shared" ref="G49" si="85">IF($A50&gt;F$4,IF($A50&lt;=G$4,F$5+(G$5-F$5)*($A50-F$4)/(G$4-F$4),0),0)</f>
        <v>0</v>
      </c>
      <c r="H49">
        <f t="shared" ref="H49" si="86">IF($A50&gt;G$4,IF($A50&lt;=H$4,G$5+(H$5-G$5)*($A50-G$4)/(H$4-G$4),0),0)</f>
        <v>0</v>
      </c>
      <c r="I49">
        <f t="shared" ref="I49" si="87">IF($A50&gt;H$4,IF($A50&lt;=I$4,H$5+(I$5-H$5)*($A50-H$4)/(I$4-H$4),0),0)</f>
        <v>0</v>
      </c>
      <c r="J49">
        <f t="shared" ref="J49" si="88">IF($A50&gt;I$4,IF($A50&lt;=J$4,I$5+(J$5-I$5)*($A50-I$4)/(J$4-I$4),0),0)</f>
        <v>0</v>
      </c>
      <c r="K49">
        <f t="shared" ref="K49" si="89">IF($A50&gt;J$4,IF($A50&lt;=K$4,J$5+(K$5-J$5)*($A50-J$4)/(K$4-J$4),0),0)</f>
        <v>0</v>
      </c>
      <c r="L49">
        <f>IF($A50&gt;K$4,IF($A50&lt;=L$4,K$5+(L$5-K$5)*($A50-K$4)/(L$4-K$4),L$5),0)</f>
        <v>0</v>
      </c>
      <c r="M49" s="32">
        <f t="shared" si="75"/>
        <v>12.302795244279956</v>
      </c>
    </row>
    <row r="50" spans="1:13" ht="15.75" thickBot="1" x14ac:dyDescent="0.3">
      <c r="A50">
        <f>E43</f>
        <v>1.1032914137281091</v>
      </c>
      <c r="B50" t="s">
        <v>72</v>
      </c>
      <c r="C50">
        <f>IF($A50&lt;=C$4,C$6,0)</f>
        <v>0</v>
      </c>
      <c r="D50">
        <f>IF($A50&gt;C$4,IF($A50&lt;=D$4,C$6+(D$6-C$6)*($A50-C$4)/(D$4-C$4),0),0)</f>
        <v>0</v>
      </c>
      <c r="E50">
        <f t="shared" ref="E50:K50" si="90">IF($A50&gt;D$4,IF($A50&lt;=E$4,D$6+(E$6-D$6)*($A50-D$4)/(E$4-D$4),0),0)</f>
        <v>3.694409511440091</v>
      </c>
      <c r="F50">
        <f t="shared" si="90"/>
        <v>0</v>
      </c>
      <c r="G50">
        <f t="shared" si="90"/>
        <v>0</v>
      </c>
      <c r="H50">
        <f t="shared" si="90"/>
        <v>0</v>
      </c>
      <c r="I50">
        <f t="shared" si="90"/>
        <v>0</v>
      </c>
      <c r="J50">
        <f t="shared" si="90"/>
        <v>0</v>
      </c>
      <c r="K50">
        <f t="shared" si="90"/>
        <v>0</v>
      </c>
      <c r="L50">
        <f>IF($A50&gt;K$4,IF($A50&lt;=L$4,K$6+(L$6-K$6)*($A50-K$4)/(L$4-K$4),L$6),0)</f>
        <v>0</v>
      </c>
      <c r="M50" s="34">
        <f t="shared" si="75"/>
        <v>3.694409511440091</v>
      </c>
    </row>
    <row r="51" spans="1:13" x14ac:dyDescent="0.25">
      <c r="A51" s="57" t="s">
        <v>83</v>
      </c>
      <c r="B51" t="s">
        <v>71</v>
      </c>
      <c r="C51">
        <f>IF($A52&lt;=C$4,C$5,0)</f>
        <v>0</v>
      </c>
      <c r="D51">
        <f>IF($A52&gt;C$4,IF($A52&lt;=D$4,C$5+(D$5-C$5)*($A52-C$4)/(D$4-C$4),0),0)</f>
        <v>0</v>
      </c>
      <c r="E51">
        <f>IF($A52&gt;D$4,IF($A52&lt;=E$4,D$5+(E$5-D$5)*($A52-D$4)/(E$4-D$4),0),0)</f>
        <v>0</v>
      </c>
      <c r="F51">
        <f t="shared" ref="F51" si="91">IF($A52&gt;E$4,IF($A52&lt;=F$4,E$5+(F$5-E$5)*($A52-E$4)/(F$4-E$4),0),0)</f>
        <v>0</v>
      </c>
      <c r="G51">
        <f t="shared" ref="G51" si="92">IF($A52&gt;F$4,IF($A52&lt;=G$4,F$5+(G$5-F$5)*($A52-F$4)/(G$4-F$4),0),0)</f>
        <v>12.197754680608158</v>
      </c>
      <c r="H51">
        <f t="shared" ref="H51" si="93">IF($A52&gt;G$4,IF($A52&lt;=H$4,G$5+(H$5-G$5)*($A52-G$4)/(H$4-G$4),0),0)</f>
        <v>0</v>
      </c>
      <c r="I51">
        <f t="shared" ref="I51" si="94">IF($A52&gt;H$4,IF($A52&lt;=I$4,H$5+(I$5-H$5)*($A52-H$4)/(I$4-H$4),0),0)</f>
        <v>0</v>
      </c>
      <c r="J51">
        <f t="shared" ref="J51" si="95">IF($A52&gt;I$4,IF($A52&lt;=J$4,I$5+(J$5-I$5)*($A52-I$4)/(J$4-I$4),0),0)</f>
        <v>0</v>
      </c>
      <c r="K51">
        <f t="shared" ref="K51" si="96">IF($A52&gt;J$4,IF($A52&lt;=K$4,J$5+(K$5-J$5)*($A52-J$4)/(K$4-J$4),0),0)</f>
        <v>0</v>
      </c>
      <c r="L51">
        <f>IF($A52&gt;K$4,IF($A52&lt;=L$4,K$5+(L$5-K$5)*($A52-K$4)/(L$4-K$4),L$5),0)</f>
        <v>0</v>
      </c>
      <c r="M51" s="32">
        <f t="shared" si="75"/>
        <v>12.197754680608158</v>
      </c>
    </row>
    <row r="52" spans="1:13" ht="15.75" thickBot="1" x14ac:dyDescent="0.3">
      <c r="A52">
        <f>F43</f>
        <v>1.3980831498106299</v>
      </c>
      <c r="B52" t="s">
        <v>72</v>
      </c>
      <c r="C52">
        <f>IF($A52&lt;=C$4,C$6,0)</f>
        <v>0</v>
      </c>
      <c r="D52">
        <f>IF($A52&gt;C$4,IF($A52&lt;=D$4,C$6+(D$6-C$6)*($A52-C$4)/(D$4-C$4),0),0)</f>
        <v>0</v>
      </c>
      <c r="E52">
        <f t="shared" ref="E52:K52" si="97">IF($A52&gt;D$4,IF($A52&lt;=E$4,D$6+(E$6-D$6)*($A52-D$4)/(E$4-D$4),0),0)</f>
        <v>0</v>
      </c>
      <c r="F52">
        <f t="shared" si="97"/>
        <v>0</v>
      </c>
      <c r="G52">
        <f t="shared" si="97"/>
        <v>3.9044906387836833</v>
      </c>
      <c r="H52">
        <f t="shared" si="97"/>
        <v>0</v>
      </c>
      <c r="I52">
        <f t="shared" si="97"/>
        <v>0</v>
      </c>
      <c r="J52">
        <f t="shared" si="97"/>
        <v>0</v>
      </c>
      <c r="K52">
        <f t="shared" si="97"/>
        <v>0</v>
      </c>
      <c r="L52">
        <f>IF($A52&gt;K$4,IF($A52&lt;=L$4,K$6+(L$6-K$6)*($A52-K$4)/(L$4-K$4),L$6),0)</f>
        <v>0</v>
      </c>
      <c r="M52" s="34">
        <f t="shared" si="75"/>
        <v>3.9044906387836833</v>
      </c>
    </row>
    <row r="53" spans="1:13" x14ac:dyDescent="0.25">
      <c r="A53" s="57" t="s">
        <v>84</v>
      </c>
      <c r="B53" t="s">
        <v>71</v>
      </c>
      <c r="C53">
        <f>IF($A54&lt;=C$4,C$5,0)</f>
        <v>0</v>
      </c>
      <c r="D53">
        <f>IF($A54&gt;C$4,IF($A54&lt;=D$4,C$5+(D$5-C$5)*($A54-C$4)/(D$4-C$4),0),0)</f>
        <v>0</v>
      </c>
      <c r="E53">
        <f>IF($A54&gt;D$4,IF($A54&lt;=E$4,D$5+(E$5-D$5)*($A54-D$4)/(E$4-D$4),0),0)</f>
        <v>0</v>
      </c>
      <c r="F53">
        <f t="shared" ref="F53" si="98">IF($A54&gt;E$4,IF($A54&lt;=F$4,E$5+(F$5-E$5)*($A54-E$4)/(F$4-E$4),0),0)</f>
        <v>0</v>
      </c>
      <c r="G53">
        <f t="shared" ref="G53" si="99">IF($A54&gt;F$4,IF($A54&lt;=G$4,F$5+(G$5-F$5)*($A54-F$4)/(G$4-F$4),0),0)</f>
        <v>12.106038614038306</v>
      </c>
      <c r="H53">
        <f t="shared" ref="H53" si="100">IF($A54&gt;G$4,IF($A54&lt;=H$4,G$5+(H$5-G$5)*($A54-G$4)/(H$4-G$4),0),0)</f>
        <v>0</v>
      </c>
      <c r="I53">
        <f t="shared" ref="I53" si="101">IF($A54&gt;H$4,IF($A54&lt;=I$4,H$5+(I$5-H$5)*($A54-H$4)/(I$4-H$4),0),0)</f>
        <v>0</v>
      </c>
      <c r="J53">
        <f t="shared" ref="J53" si="102">IF($A54&gt;I$4,IF($A54&lt;=J$4,I$5+(J$5-I$5)*($A54-I$4)/(J$4-I$4),0),0)</f>
        <v>0</v>
      </c>
      <c r="K53">
        <f t="shared" ref="K53" si="103">IF($A54&gt;J$4,IF($A54&lt;=K$4,J$5+(K$5-J$5)*($A54-J$4)/(K$4-J$4),0),0)</f>
        <v>0</v>
      </c>
      <c r="L53">
        <f>IF($A54&gt;K$4,IF($A54&lt;=L$4,K$5+(L$5-K$5)*($A54-K$4)/(L$4-K$4),L$5),0)</f>
        <v>0</v>
      </c>
      <c r="M53" s="32">
        <f t="shared" si="75"/>
        <v>12.106038614038306</v>
      </c>
    </row>
    <row r="54" spans="1:13" ht="15.75" thickBot="1" x14ac:dyDescent="0.3">
      <c r="A54">
        <f>G43</f>
        <v>1.7282609894620966</v>
      </c>
      <c r="B54" t="s">
        <v>72</v>
      </c>
      <c r="C54">
        <f>IF($A54&lt;=C$4,C$6,0)</f>
        <v>0</v>
      </c>
      <c r="D54">
        <f>IF($A54&gt;C$4,IF($A54&lt;=D$4,C$6+(D$6-C$6)*($A54-C$4)/(D$4-C$4),0),0)</f>
        <v>0</v>
      </c>
      <c r="E54">
        <f t="shared" ref="E54:K54" si="104">IF($A54&gt;D$4,IF($A54&lt;=E$4,D$6+(E$6-D$6)*($A54-D$4)/(E$4-D$4),0),0)</f>
        <v>0</v>
      </c>
      <c r="F54">
        <f t="shared" si="104"/>
        <v>0</v>
      </c>
      <c r="G54">
        <f t="shared" si="104"/>
        <v>4.0879227719233864</v>
      </c>
      <c r="H54">
        <f t="shared" si="104"/>
        <v>0</v>
      </c>
      <c r="I54">
        <f t="shared" si="104"/>
        <v>0</v>
      </c>
      <c r="J54">
        <f t="shared" si="104"/>
        <v>0</v>
      </c>
      <c r="K54">
        <f t="shared" si="104"/>
        <v>0</v>
      </c>
      <c r="L54">
        <f>IF($A54&gt;K$4,IF($A54&lt;=L$4,K$6+(L$6-K$6)*($A54-K$4)/(L$4-K$4),L$6),0)</f>
        <v>0</v>
      </c>
      <c r="M54" s="34">
        <f t="shared" si="75"/>
        <v>4.0879227719233864</v>
      </c>
    </row>
    <row r="55" spans="1:13" x14ac:dyDescent="0.25">
      <c r="A55" s="57" t="s">
        <v>85</v>
      </c>
      <c r="B55" t="s">
        <v>71</v>
      </c>
      <c r="C55">
        <f>IF($A56&lt;=C$4,C$5,0)</f>
        <v>0</v>
      </c>
      <c r="D55">
        <f>IF($A56&gt;C$4,IF($A56&lt;=D$4,C$5+(D$5-C$5)*($A56-C$4)/(D$4-C$4),0),0)</f>
        <v>0</v>
      </c>
      <c r="E55">
        <f>IF($A56&gt;D$4,IF($A56&lt;=E$4,D$5+(E$5-D$5)*($A56-D$4)/(E$4-D$4),0),0)</f>
        <v>0</v>
      </c>
      <c r="F55">
        <f t="shared" ref="F55" si="105">IF($A56&gt;E$4,IF($A56&lt;=F$4,E$5+(F$5-E$5)*($A56-E$4)/(F$4-E$4),0),0)</f>
        <v>0</v>
      </c>
      <c r="G55">
        <f t="shared" ref="G55" si="106">IF($A56&gt;F$4,IF($A56&lt;=G$4,F$5+(G$5-F$5)*($A56-F$4)/(G$4-F$4),0),0)</f>
        <v>0</v>
      </c>
      <c r="H55">
        <f t="shared" ref="H55" si="107">IF($A56&gt;G$4,IF($A56&lt;=H$4,G$5+(H$5-G$5)*($A56-G$4)/(H$4-G$4),0),0)</f>
        <v>12.022250766000852</v>
      </c>
      <c r="I55">
        <f t="shared" ref="I55" si="108">IF($A56&gt;H$4,IF($A56&lt;=I$4,H$5+(I$5-H$5)*($A56-H$4)/(I$4-H$4),0),0)</f>
        <v>0</v>
      </c>
      <c r="J55">
        <f t="shared" ref="J55" si="109">IF($A56&gt;I$4,IF($A56&lt;=J$4,I$5+(J$5-I$5)*($A56-I$4)/(J$4-I$4),0),0)</f>
        <v>0</v>
      </c>
      <c r="K55">
        <f t="shared" ref="K55" si="110">IF($A56&gt;J$4,IF($A56&lt;=K$4,J$5+(K$5-J$5)*($A56-J$4)/(K$4-J$4),0),0)</f>
        <v>0</v>
      </c>
      <c r="L55">
        <f>IF($A56&gt;K$4,IF($A56&lt;=L$4,K$5+(L$5-K$5)*($A56-K$4)/(L$4-K$4),L$5),0)</f>
        <v>0</v>
      </c>
      <c r="M55" s="32">
        <f t="shared" si="75"/>
        <v>12.022250766000852</v>
      </c>
    </row>
    <row r="56" spans="1:13" ht="15.75" thickBot="1" x14ac:dyDescent="0.3">
      <c r="A56">
        <f>H43</f>
        <v>2.1076464763960794</v>
      </c>
      <c r="B56" t="s">
        <v>72</v>
      </c>
      <c r="C56">
        <f>IF($A56&lt;=C$4,C$6,0)</f>
        <v>0</v>
      </c>
      <c r="D56">
        <f>IF($A56&gt;C$4,IF($A56&lt;=D$4,C$6+(D$6-C$6)*($A56-C$4)/(D$4-C$4),0),0)</f>
        <v>0</v>
      </c>
      <c r="E56">
        <f t="shared" ref="E56:K56" si="111">IF($A56&gt;D$4,IF($A56&lt;=E$4,D$6+(E$6-D$6)*($A56-D$4)/(E$4-D$4),0),0)</f>
        <v>0</v>
      </c>
      <c r="F56">
        <f t="shared" si="111"/>
        <v>0</v>
      </c>
      <c r="G56">
        <f t="shared" si="111"/>
        <v>0</v>
      </c>
      <c r="H56">
        <f t="shared" si="111"/>
        <v>4.4109969359965904</v>
      </c>
      <c r="I56">
        <f t="shared" si="111"/>
        <v>0</v>
      </c>
      <c r="J56">
        <f t="shared" si="111"/>
        <v>0</v>
      </c>
      <c r="K56">
        <f t="shared" si="111"/>
        <v>0</v>
      </c>
      <c r="L56">
        <f>IF($A56&gt;K$4,IF($A56&lt;=L$4,K$6+(L$6-K$6)*($A56-K$4)/(L$4-K$4),L$6),0)</f>
        <v>0</v>
      </c>
      <c r="M56" s="34">
        <f t="shared" si="75"/>
        <v>4.4109969359965904</v>
      </c>
    </row>
    <row r="57" spans="1:13" x14ac:dyDescent="0.25">
      <c r="A57" s="57" t="s">
        <v>86</v>
      </c>
      <c r="B57" t="s">
        <v>71</v>
      </c>
      <c r="C57">
        <f>IF($A58&lt;=C$4,C$5,0)</f>
        <v>0</v>
      </c>
      <c r="D57">
        <f>IF($A58&gt;C$4,IF($A58&lt;=D$4,C$5+(D$5-C$5)*($A58-C$4)/(D$4-C$4),0),0)</f>
        <v>0</v>
      </c>
      <c r="E57">
        <f>IF($A58&gt;D$4,IF($A58&lt;=E$4,D$5+(E$5-D$5)*($A58-D$4)/(E$4-D$4),0),0)</f>
        <v>0</v>
      </c>
      <c r="F57">
        <f t="shared" ref="F57" si="112">IF($A58&gt;E$4,IF($A58&lt;=F$4,E$5+(F$5-E$5)*($A58-E$4)/(F$4-E$4),0),0)</f>
        <v>0</v>
      </c>
      <c r="G57">
        <f t="shared" ref="G57" si="113">IF($A58&gt;F$4,IF($A58&lt;=G$4,F$5+(G$5-F$5)*($A58-F$4)/(G$4-F$4),0),0)</f>
        <v>0</v>
      </c>
      <c r="H57">
        <f t="shared" ref="H57" si="114">IF($A58&gt;G$4,IF($A58&lt;=H$4,G$5+(H$5-G$5)*($A58-G$4)/(H$4-G$4),0),0)</f>
        <v>0</v>
      </c>
      <c r="I57">
        <f t="shared" ref="I57" si="115">IF($A58&gt;H$4,IF($A58&lt;=I$4,H$5+(I$5-H$5)*($A58-H$4)/(I$4-H$4),0),0)</f>
        <v>12</v>
      </c>
      <c r="J57">
        <f t="shared" ref="J57" si="116">IF($A58&gt;I$4,IF($A58&lt;=J$4,I$5+(J$5-I$5)*($A58-I$4)/(J$4-I$4),0),0)</f>
        <v>0</v>
      </c>
      <c r="K57">
        <f t="shared" ref="K57" si="117">IF($A58&gt;J$4,IF($A58&lt;=K$4,J$5+(K$5-J$5)*($A58-J$4)/(K$4-J$4),0),0)</f>
        <v>0</v>
      </c>
      <c r="L57">
        <f>IF($A58&gt;K$4,IF($A58&lt;=L$4,K$5+(L$5-K$5)*($A58-K$4)/(L$4-K$4),L$5),0)</f>
        <v>0</v>
      </c>
      <c r="M57" s="32">
        <f t="shared" si="75"/>
        <v>12</v>
      </c>
    </row>
    <row r="58" spans="1:13" ht="15.75" thickBot="1" x14ac:dyDescent="0.3">
      <c r="A58">
        <f>I43</f>
        <v>2.5554597444889189</v>
      </c>
      <c r="B58" t="s">
        <v>72</v>
      </c>
      <c r="C58">
        <f>IF($A58&lt;=C$4,C$6,0)</f>
        <v>0</v>
      </c>
      <c r="D58">
        <f>IF($A58&gt;C$4,IF($A58&lt;=D$4,C$6+(D$6-C$6)*($A58-C$4)/(D$4-C$4),0),0)</f>
        <v>0</v>
      </c>
      <c r="E58">
        <f t="shared" ref="E58:K58" si="118">IF($A58&gt;D$4,IF($A58&lt;=E$4,D$6+(E$6-D$6)*($A58-D$4)/(E$4-D$4),0),0)</f>
        <v>0</v>
      </c>
      <c r="F58">
        <f t="shared" si="118"/>
        <v>0</v>
      </c>
      <c r="G58">
        <f t="shared" si="118"/>
        <v>0</v>
      </c>
      <c r="H58">
        <f t="shared" si="118"/>
        <v>0</v>
      </c>
      <c r="I58">
        <f t="shared" si="118"/>
        <v>5.0181896167333786</v>
      </c>
      <c r="J58">
        <f t="shared" si="118"/>
        <v>0</v>
      </c>
      <c r="K58">
        <f t="shared" si="118"/>
        <v>0</v>
      </c>
      <c r="L58">
        <f>IF($A58&gt;K$4,IF($A58&lt;=L$4,K$6+(L$6-K$6)*($A58-K$4)/(L$4-K$4),L$6),0)</f>
        <v>0</v>
      </c>
      <c r="M58" s="34">
        <f t="shared" si="75"/>
        <v>5.0181896167333786</v>
      </c>
    </row>
    <row r="59" spans="1:13" x14ac:dyDescent="0.25">
      <c r="A59" s="57" t="s">
        <v>87</v>
      </c>
      <c r="B59" t="s">
        <v>71</v>
      </c>
      <c r="C59">
        <f>IF($A60&lt;=C$4,C$5,0)</f>
        <v>0</v>
      </c>
      <c r="D59">
        <f>IF($A60&gt;C$4,IF($A60&lt;=D$4,C$5+(D$5-C$5)*($A60-C$4)/(D$4-C$4),0),0)</f>
        <v>0</v>
      </c>
      <c r="E59">
        <f>IF($A60&gt;D$4,IF($A60&lt;=E$4,D$5+(E$5-D$5)*($A60-D$4)/(E$4-D$4),0),0)</f>
        <v>0</v>
      </c>
      <c r="F59">
        <f t="shared" ref="F59" si="119">IF($A60&gt;E$4,IF($A60&lt;=F$4,E$5+(F$5-E$5)*($A60-E$4)/(F$4-E$4),0),0)</f>
        <v>0</v>
      </c>
      <c r="G59">
        <f t="shared" ref="G59" si="120">IF($A60&gt;F$4,IF($A60&lt;=G$4,F$5+(G$5-F$5)*($A60-F$4)/(G$4-F$4),0),0)</f>
        <v>0</v>
      </c>
      <c r="H59">
        <f t="shared" ref="H59" si="121">IF($A60&gt;G$4,IF($A60&lt;=H$4,G$5+(H$5-G$5)*($A60-G$4)/(H$4-G$4),0),0)</f>
        <v>0</v>
      </c>
      <c r="I59">
        <f t="shared" ref="I59" si="122">IF($A60&gt;H$4,IF($A60&lt;=I$4,H$5+(I$5-H$5)*($A60-H$4)/(I$4-H$4),0),0)</f>
        <v>0</v>
      </c>
      <c r="J59">
        <f t="shared" ref="J59" si="123">IF($A60&gt;I$4,IF($A60&lt;=J$4,I$5+(J$5-I$5)*($A60-I$4)/(J$4-I$4),0),0)</f>
        <v>11.970865841802159</v>
      </c>
      <c r="K59">
        <f t="shared" ref="K59" si="124">IF($A60&gt;J$4,IF($A60&lt;=K$4,J$5+(K$5-J$5)*($A60-J$4)/(K$4-J$4),0),0)</f>
        <v>0</v>
      </c>
      <c r="L59">
        <f>IF($A60&gt;K$4,IF($A60&lt;=L$4,K$5+(L$5-K$5)*($A60-K$4)/(L$4-K$4),L$5),0)</f>
        <v>0</v>
      </c>
      <c r="M59" s="32">
        <f t="shared" si="75"/>
        <v>11.970865841802159</v>
      </c>
    </row>
    <row r="60" spans="1:13" ht="15.75" thickBot="1" x14ac:dyDescent="0.3">
      <c r="A60">
        <f>J43</f>
        <v>3.0984281661586301</v>
      </c>
      <c r="B60" t="s">
        <v>72</v>
      </c>
      <c r="C60">
        <f>IF($A60&lt;=C$4,C$6,0)</f>
        <v>0</v>
      </c>
      <c r="D60">
        <f>IF($A60&gt;C$4,IF($A60&lt;=D$4,C$6+(D$6-C$6)*($A60-C$4)/(D$4-C$4),0),0)</f>
        <v>0</v>
      </c>
      <c r="E60">
        <f t="shared" ref="E60:K60" si="125">IF($A60&gt;D$4,IF($A60&lt;=E$4,D$6+(E$6-D$6)*($A60-D$4)/(E$4-D$4),0),0)</f>
        <v>0</v>
      </c>
      <c r="F60">
        <f t="shared" si="125"/>
        <v>0</v>
      </c>
      <c r="G60">
        <f t="shared" si="125"/>
        <v>0</v>
      </c>
      <c r="H60">
        <f t="shared" si="125"/>
        <v>0</v>
      </c>
      <c r="I60">
        <f t="shared" si="125"/>
        <v>0</v>
      </c>
      <c r="J60">
        <f t="shared" si="125"/>
        <v>5.6913415819784143</v>
      </c>
      <c r="K60">
        <f t="shared" si="125"/>
        <v>0</v>
      </c>
      <c r="L60">
        <f>IF($A60&gt;K$4,IF($A60&lt;=L$4,K$6+(L$6-K$6)*($A60-K$4)/(L$4-K$4),L$6),0)</f>
        <v>0</v>
      </c>
      <c r="M60" s="34">
        <f t="shared" si="75"/>
        <v>5.6913415819784143</v>
      </c>
    </row>
    <row r="61" spans="1:13" x14ac:dyDescent="0.25">
      <c r="A61" s="57" t="s">
        <v>88</v>
      </c>
      <c r="B61" t="s">
        <v>71</v>
      </c>
      <c r="C61">
        <f>IF($A62&lt;=C$4,C$5,0)</f>
        <v>0</v>
      </c>
      <c r="D61">
        <f>IF($A62&gt;C$4,IF($A62&lt;=D$4,C$5+(D$5-C$5)*($A62-C$4)/(D$4-C$4),0),0)</f>
        <v>0</v>
      </c>
      <c r="E61">
        <f>IF($A62&gt;D$4,IF($A62&lt;=E$4,D$5+(E$5-D$5)*($A62-D$4)/(E$4-D$4),0),0)</f>
        <v>0</v>
      </c>
      <c r="F61">
        <f t="shared" ref="F61" si="126">IF($A62&gt;E$4,IF($A62&lt;=F$4,E$5+(F$5-E$5)*($A62-E$4)/(F$4-E$4),0),0)</f>
        <v>0</v>
      </c>
      <c r="G61">
        <f t="shared" ref="G61" si="127">IF($A62&gt;F$4,IF($A62&lt;=G$4,F$5+(G$5-F$5)*($A62-F$4)/(G$4-F$4),0),0)</f>
        <v>0</v>
      </c>
      <c r="H61">
        <f t="shared" ref="H61" si="128">IF($A62&gt;G$4,IF($A62&lt;=H$4,G$5+(H$5-G$5)*($A62-G$4)/(H$4-G$4),0),0)</f>
        <v>0</v>
      </c>
      <c r="I61">
        <f t="shared" ref="I61" si="129">IF($A62&gt;H$4,IF($A62&lt;=I$4,H$5+(I$5-H$5)*($A62-H$4)/(I$4-H$4),0),0)</f>
        <v>0</v>
      </c>
      <c r="J61">
        <f t="shared" ref="J61" si="130">IF($A62&gt;I$4,IF($A62&lt;=J$4,I$5+(J$5-I$5)*($A62-I$4)/(J$4-I$4),0),0)</f>
        <v>11.90265468456462</v>
      </c>
      <c r="K61">
        <f t="shared" ref="K61" si="131">IF($A62&gt;J$4,IF($A62&lt;=K$4,J$5+(K$5-J$5)*($A62-J$4)/(K$4-J$4),0),0)</f>
        <v>0</v>
      </c>
      <c r="L61">
        <f>IF($A62&gt;K$4,IF($A62&lt;=L$4,K$5+(L$5-K$5)*($A62-K$4)/(L$4-K$4),L$5),0)</f>
        <v>0</v>
      </c>
      <c r="M61" s="32">
        <f t="shared" si="75"/>
        <v>11.90265468456462</v>
      </c>
    </row>
    <row r="62" spans="1:13" ht="15.75" thickBot="1" x14ac:dyDescent="0.3">
      <c r="A62">
        <f>K43</f>
        <v>3.773718622810271</v>
      </c>
      <c r="B62" t="s">
        <v>72</v>
      </c>
      <c r="C62">
        <f>IF($A62&lt;=C$4,C$6,0)</f>
        <v>0</v>
      </c>
      <c r="D62">
        <f>IF($A62&gt;C$4,IF($A62&lt;=D$4,C$6+(D$6-C$6)*($A62-C$4)/(D$4-C$4),0),0)</f>
        <v>0</v>
      </c>
      <c r="E62">
        <f t="shared" ref="E62:K62" si="132">IF($A62&gt;D$4,IF($A62&lt;=E$4,D$6+(E$6-D$6)*($A62-D$4)/(E$4-D$4),0),0)</f>
        <v>0</v>
      </c>
      <c r="F62">
        <f t="shared" si="132"/>
        <v>0</v>
      </c>
      <c r="G62">
        <f t="shared" si="132"/>
        <v>0</v>
      </c>
      <c r="H62">
        <f t="shared" si="132"/>
        <v>0</v>
      </c>
      <c r="I62">
        <f t="shared" si="132"/>
        <v>0</v>
      </c>
      <c r="J62">
        <f t="shared" si="132"/>
        <v>6.3734531543538093</v>
      </c>
      <c r="K62">
        <f t="shared" si="132"/>
        <v>0</v>
      </c>
      <c r="L62">
        <f>IF($A62&gt;K$4,IF($A62&lt;=L$4,K$6+(L$6-K$6)*($A62-K$4)/(L$4-K$4),L$6),0)</f>
        <v>0</v>
      </c>
      <c r="M62" s="34">
        <f t="shared" si="75"/>
        <v>6.3734531543538093</v>
      </c>
    </row>
    <row r="63" spans="1:13" x14ac:dyDescent="0.25">
      <c r="A63" s="57" t="s">
        <v>89</v>
      </c>
      <c r="B63" t="s">
        <v>71</v>
      </c>
      <c r="C63">
        <f>IF($A64&lt;=C$4,C$5,0)</f>
        <v>0</v>
      </c>
      <c r="D63">
        <f>IF($A64&gt;C$4,IF($A64&lt;=D$4,C$5+(D$5-C$5)*($A64-C$4)/(D$4-C$4),0),0)</f>
        <v>0</v>
      </c>
      <c r="E63">
        <f>IF($A64&gt;D$4,IF($A64&lt;=E$4,D$5+(E$5-D$5)*($A64-D$4)/(E$4-D$4),0),0)</f>
        <v>0</v>
      </c>
      <c r="F63">
        <f t="shared" ref="F63" si="133">IF($A64&gt;E$4,IF($A64&lt;=F$4,E$5+(F$5-E$5)*($A64-E$4)/(F$4-E$4),0),0)</f>
        <v>0</v>
      </c>
      <c r="G63">
        <f t="shared" ref="G63" si="134">IF($A64&gt;F$4,IF($A64&lt;=G$4,F$5+(G$5-F$5)*($A64-F$4)/(G$4-F$4),0),0)</f>
        <v>0</v>
      </c>
      <c r="H63">
        <f t="shared" ref="H63" si="135">IF($A64&gt;G$4,IF($A64&lt;=H$4,G$5+(H$5-G$5)*($A64-G$4)/(H$4-G$4),0),0)</f>
        <v>0</v>
      </c>
      <c r="I63">
        <f t="shared" ref="I63" si="136">IF($A64&gt;H$4,IF($A64&lt;=I$4,H$5+(I$5-H$5)*($A64-H$4)/(I$4-H$4),0),0)</f>
        <v>0</v>
      </c>
      <c r="J63">
        <f t="shared" ref="J63" si="137">IF($A64&gt;I$4,IF($A64&lt;=J$4,I$5+(J$5-I$5)*($A64-I$4)/(J$4-I$4),0),0)</f>
        <v>0</v>
      </c>
      <c r="K63">
        <f t="shared" ref="K63" si="138">IF($A64&gt;J$4,IF($A64&lt;=K$4,J$5+(K$5-J$5)*($A64-J$4)/(K$4-J$4),0),0)</f>
        <v>11.824953594785475</v>
      </c>
      <c r="L63">
        <f>IF($A64&gt;K$4,IF($A64&lt;=L$4,K$5+(L$5-K$5)*($A64-K$4)/(L$4-K$4),L$5),0)</f>
        <v>0</v>
      </c>
      <c r="M63" s="32">
        <f t="shared" si="75"/>
        <v>11.824953594785475</v>
      </c>
    </row>
    <row r="64" spans="1:13" ht="15.75" thickBot="1" x14ac:dyDescent="0.3">
      <c r="A64">
        <f>L43</f>
        <v>4.6330150978812341</v>
      </c>
      <c r="B64" t="s">
        <v>72</v>
      </c>
      <c r="C64">
        <f>IF($A64&lt;=C$4,C$6,0)</f>
        <v>0</v>
      </c>
      <c r="D64">
        <f>IF($A64&gt;C$4,IF($A64&lt;=D$4,C$6+(D$6-C$6)*($A64-C$4)/(D$4-C$4),0),0)</f>
        <v>0</v>
      </c>
      <c r="E64">
        <f t="shared" ref="E64:K64" si="139">IF($A64&gt;D$4,IF($A64&lt;=E$4,D$6+(E$6-D$6)*($A64-D$4)/(E$4-D$4),0),0)</f>
        <v>0</v>
      </c>
      <c r="F64">
        <f t="shared" si="139"/>
        <v>0</v>
      </c>
      <c r="G64">
        <f t="shared" si="139"/>
        <v>0</v>
      </c>
      <c r="H64">
        <f t="shared" si="139"/>
        <v>0</v>
      </c>
      <c r="I64">
        <f t="shared" si="139"/>
        <v>0</v>
      </c>
      <c r="J64">
        <f t="shared" si="139"/>
        <v>0</v>
      </c>
      <c r="K64">
        <f t="shared" si="139"/>
        <v>8.5388225486139788</v>
      </c>
      <c r="L64">
        <f>IF($A64&gt;K$4,IF($A64&lt;=L$4,K$6+(L$6-K$6)*($A64-K$4)/(L$4-K$4),L$6),0)</f>
        <v>0</v>
      </c>
      <c r="M64" s="34">
        <f t="shared" si="75"/>
        <v>8.5388225486139788</v>
      </c>
    </row>
    <row r="66" spans="1:13" x14ac:dyDescent="0.25">
      <c r="B66" t="s">
        <v>90</v>
      </c>
    </row>
    <row r="67" spans="1:13" ht="15.75" thickBot="1" x14ac:dyDescent="0.3">
      <c r="C67" s="25">
        <v>1</v>
      </c>
      <c r="D67" s="25">
        <v>2</v>
      </c>
      <c r="E67" s="25">
        <v>3</v>
      </c>
      <c r="F67" s="25">
        <v>4</v>
      </c>
      <c r="G67" s="25">
        <v>5</v>
      </c>
      <c r="H67" s="25">
        <v>6</v>
      </c>
      <c r="I67" s="25">
        <v>7</v>
      </c>
      <c r="J67" s="25">
        <v>8</v>
      </c>
      <c r="K67" s="25">
        <v>9</v>
      </c>
      <c r="L67" s="25">
        <v>10</v>
      </c>
    </row>
    <row r="68" spans="1:13" x14ac:dyDescent="0.25">
      <c r="B68" t="s">
        <v>71</v>
      </c>
      <c r="C68" s="58">
        <f>M45</f>
        <v>12.4</v>
      </c>
      <c r="D68" s="59">
        <f>M47</f>
        <v>12.4</v>
      </c>
      <c r="E68" s="59">
        <f>M49</f>
        <v>12.302795244279956</v>
      </c>
      <c r="F68" s="59">
        <f>M51</f>
        <v>12.197754680608158</v>
      </c>
      <c r="G68" s="59">
        <f>M53</f>
        <v>12.106038614038306</v>
      </c>
      <c r="H68" s="59">
        <f>M55</f>
        <v>12.022250766000852</v>
      </c>
      <c r="I68" s="59">
        <f>M57</f>
        <v>12</v>
      </c>
      <c r="J68" s="59">
        <f>M59</f>
        <v>11.970865841802159</v>
      </c>
      <c r="K68" s="59">
        <f>M61</f>
        <v>11.90265468456462</v>
      </c>
      <c r="L68" s="60">
        <f>M63</f>
        <v>11.824953594785475</v>
      </c>
    </row>
    <row r="69" spans="1:13" ht="15.75" thickBot="1" x14ac:dyDescent="0.3">
      <c r="B69" t="s">
        <v>72</v>
      </c>
      <c r="C69" s="52">
        <f>M46</f>
        <v>3.3186741558507813</v>
      </c>
      <c r="D69" s="53">
        <f t="shared" ref="D69" si="140">M48</f>
        <v>3.4772293436099604</v>
      </c>
      <c r="E69" s="53">
        <f>M50</f>
        <v>3.694409511440091</v>
      </c>
      <c r="F69" s="53">
        <f>M52</f>
        <v>3.9044906387836833</v>
      </c>
      <c r="G69" s="53">
        <f>M54</f>
        <v>4.0879227719233864</v>
      </c>
      <c r="H69" s="53">
        <f>M56</f>
        <v>4.4109969359965904</v>
      </c>
      <c r="I69" s="53">
        <f>M58</f>
        <v>5.0181896167333786</v>
      </c>
      <c r="J69" s="53">
        <f>M60</f>
        <v>5.6913415819784143</v>
      </c>
      <c r="K69" s="53">
        <f>M62</f>
        <v>6.3734531543538093</v>
      </c>
      <c r="L69" s="54">
        <f>M64</f>
        <v>8.5388225486139788</v>
      </c>
    </row>
    <row r="70" spans="1:13" x14ac:dyDescent="0.25">
      <c r="B70" t="s">
        <v>161</v>
      </c>
      <c r="C70">
        <f>100-C68-C69</f>
        <v>84.281325844149208</v>
      </c>
      <c r="D70">
        <f t="shared" ref="D70:L70" si="141">100-D68-D69</f>
        <v>84.122770656390031</v>
      </c>
      <c r="E70">
        <f t="shared" si="141"/>
        <v>84.002795244279952</v>
      </c>
      <c r="F70">
        <f t="shared" si="141"/>
        <v>83.897754680608159</v>
      </c>
      <c r="G70">
        <f t="shared" si="141"/>
        <v>83.8060386140383</v>
      </c>
      <c r="H70">
        <f t="shared" si="141"/>
        <v>83.566752298002555</v>
      </c>
      <c r="I70">
        <f t="shared" si="141"/>
        <v>82.98181038326662</v>
      </c>
      <c r="J70">
        <f t="shared" si="141"/>
        <v>82.337792576219428</v>
      </c>
      <c r="K70">
        <f t="shared" si="141"/>
        <v>81.723892161081565</v>
      </c>
      <c r="L70">
        <f t="shared" si="141"/>
        <v>79.636223856600552</v>
      </c>
    </row>
    <row r="73" spans="1:13" ht="18.75" x14ac:dyDescent="0.3">
      <c r="B73" s="56">
        <v>2018</v>
      </c>
    </row>
    <row r="74" spans="1:13" x14ac:dyDescent="0.25">
      <c r="C74" s="25">
        <v>1</v>
      </c>
      <c r="D74" s="25">
        <v>2</v>
      </c>
      <c r="E74" s="25">
        <v>3</v>
      </c>
      <c r="F74" s="25">
        <v>4</v>
      </c>
      <c r="G74" s="25">
        <v>5</v>
      </c>
      <c r="H74" s="25">
        <v>6</v>
      </c>
      <c r="I74" s="25">
        <v>7</v>
      </c>
      <c r="J74" s="25">
        <v>8</v>
      </c>
      <c r="K74" s="25">
        <v>9</v>
      </c>
      <c r="L74" s="25">
        <v>10</v>
      </c>
    </row>
    <row r="75" spans="1:13" x14ac:dyDescent="0.25">
      <c r="B75" t="s">
        <v>79</v>
      </c>
      <c r="C75" s="8">
        <f>INDEX(decdoh2018,'матрица расходов'!C74)/расслоение!$M$117</f>
        <v>0.85416641461720255</v>
      </c>
      <c r="D75" s="8">
        <f>INDEX(decdoh2018,'матрица расходов'!D74)/расслоение!$M$117</f>
        <v>1.1933546969912627</v>
      </c>
      <c r="E75" s="8">
        <f>INDEX(decdoh2018,'матрица расходов'!E74)/расслоение!$M$117</f>
        <v>1.5701507583692864</v>
      </c>
      <c r="F75" s="8">
        <f>INDEX(decdoh2018,'матрица расходов'!F74)/расслоение!$M$117</f>
        <v>1.9970491101289642</v>
      </c>
      <c r="G75" s="8">
        <f>INDEX(decdoh2018,'матрица расходов'!G74)/расслоение!$M$117</f>
        <v>2.490695341395778</v>
      </c>
      <c r="H75" s="8">
        <f>INDEX(decdoh2018,'матрица расходов'!H74)/расслоение!$M$117</f>
        <v>3.0732652403185234</v>
      </c>
      <c r="I75" s="8">
        <f>INDEX(decdoh2018,'матрица расходов'!I74)/расслоение!$M$117</f>
        <v>3.7743021037017215</v>
      </c>
      <c r="J75" s="8">
        <f>INDEX(decdoh2018,'матрица расходов'!J74)/расслоение!$M$117</f>
        <v>4.6331644598747257</v>
      </c>
      <c r="K75" s="8">
        <f>INDEX(decdoh2018,'матрица расходов'!K74)/расслоение!$M$117</f>
        <v>5.7022870036687303</v>
      </c>
      <c r="L75" s="8">
        <f>INDEX(decdoh2018,'матрица расходов'!L74)/расслоение!$M$117</f>
        <v>7.0515249186676661</v>
      </c>
    </row>
    <row r="76" spans="1:13" ht="15.75" thickBot="1" x14ac:dyDescent="0.3"/>
    <row r="77" spans="1:13" x14ac:dyDescent="0.25">
      <c r="A77" s="57" t="s">
        <v>80</v>
      </c>
      <c r="B77" t="s">
        <v>71</v>
      </c>
      <c r="C77">
        <f>IF($A78&lt;=C$4,C$5,0)</f>
        <v>0</v>
      </c>
      <c r="D77">
        <f>IF($A78&gt;C$4,IF($A78&lt;=D$4,C$5+(D$5-C$5)*($A78-C$4)/(D$4-C$4),0),0)</f>
        <v>12.4</v>
      </c>
      <c r="E77">
        <f>IF($A78&gt;D$4,IF($A78&lt;=E$4,D$5+(E$5-D$5)*($A78-D$4)/(E$4-D$4),0),0)</f>
        <v>0</v>
      </c>
      <c r="F77">
        <f t="shared" ref="F77" si="142">IF($A78&gt;E$4,IF($A78&lt;=F$4,E$5+(F$5-E$5)*($A78-E$4)/(F$4-E$4),0),0)</f>
        <v>0</v>
      </c>
      <c r="G77">
        <f t="shared" ref="G77" si="143">IF($A78&gt;F$4,IF($A78&lt;=G$4,F$5+(G$5-F$5)*($A78-F$4)/(G$4-F$4),0),0)</f>
        <v>0</v>
      </c>
      <c r="H77">
        <f t="shared" ref="H77" si="144">IF($A78&gt;G$4,IF($A78&lt;=H$4,G$5+(H$5-G$5)*($A78-G$4)/(H$4-G$4),0),0)</f>
        <v>0</v>
      </c>
      <c r="I77">
        <f t="shared" ref="I77" si="145">IF($A78&gt;H$4,IF($A78&lt;=I$4,H$5+(I$5-H$5)*($A78-H$4)/(I$4-H$4),0),0)</f>
        <v>0</v>
      </c>
      <c r="J77">
        <f t="shared" ref="J77" si="146">IF($A78&gt;I$4,IF($A78&lt;=J$4,I$5+(J$5-I$5)*($A78-I$4)/(J$4-I$4),0),0)</f>
        <v>0</v>
      </c>
      <c r="K77">
        <f t="shared" ref="K77" si="147">IF($A78&gt;J$4,IF($A78&lt;=K$4,J$5+(K$5-J$5)*($A78-J$4)/(K$4-J$4),0),0)</f>
        <v>0</v>
      </c>
      <c r="L77">
        <f>IF($A78&gt;K$4,IF($A78&lt;=L$4,K$5+(L$5-K$5)*($A78-K$4)/(L$4-K$4),L$5),0)</f>
        <v>0</v>
      </c>
      <c r="M77" s="32">
        <f t="shared" ref="M77:M96" si="148">SUM(C77:L77)</f>
        <v>12.4</v>
      </c>
    </row>
    <row r="78" spans="1:13" ht="15.75" thickBot="1" x14ac:dyDescent="0.3">
      <c r="A78">
        <f>C75</f>
        <v>0.85416641461720255</v>
      </c>
      <c r="B78" t="s">
        <v>72</v>
      </c>
      <c r="C78">
        <f>IF($A78&lt;=C$4,C$6,0)</f>
        <v>0</v>
      </c>
      <c r="D78">
        <f>IF($A78&gt;C$4,IF($A78&lt;=D$4,C$6+(D$6-C$6)*($A78-C$4)/(D$4-C$4),0),0)</f>
        <v>3.4899998408108646</v>
      </c>
      <c r="E78">
        <f t="shared" ref="E78" si="149">IF($A78&gt;D$4,IF($A78&lt;=E$4,D$6+(E$6-D$6)*($A78-D$4)/(E$4-D$4),0),0)</f>
        <v>0</v>
      </c>
      <c r="F78">
        <f t="shared" ref="F78" si="150">IF($A78&gt;E$4,IF($A78&lt;=F$4,E$6+(F$6-E$6)*($A78-E$4)/(F$4-E$4),0),0)</f>
        <v>0</v>
      </c>
      <c r="G78">
        <f t="shared" ref="G78" si="151">IF($A78&gt;F$4,IF($A78&lt;=G$4,F$6+(G$6-F$6)*($A78-F$4)/(G$4-F$4),0),0)</f>
        <v>0</v>
      </c>
      <c r="H78">
        <f t="shared" ref="H78" si="152">IF($A78&gt;G$4,IF($A78&lt;=H$4,G$6+(H$6-G$6)*($A78-G$4)/(H$4-G$4),0),0)</f>
        <v>0</v>
      </c>
      <c r="I78">
        <f t="shared" ref="I78" si="153">IF($A78&gt;H$4,IF($A78&lt;=I$4,H$6+(I$6-H$6)*($A78-H$4)/(I$4-H$4),0),0)</f>
        <v>0</v>
      </c>
      <c r="J78">
        <f t="shared" ref="J78" si="154">IF($A78&gt;I$4,IF($A78&lt;=J$4,I$6+(J$6-I$6)*($A78-I$4)/(J$4-I$4),0),0)</f>
        <v>0</v>
      </c>
      <c r="K78">
        <f t="shared" ref="K78" si="155">IF($A78&gt;J$4,IF($A78&lt;=K$4,J$6+(K$6-J$6)*($A78-J$4)/(K$4-J$4),0),0)</f>
        <v>0</v>
      </c>
      <c r="L78">
        <f>IF($A78&gt;K$4,IF($A78&lt;=L$4,K$6+(L$6-K$6)*($A78-K$4)/(L$4-K$4),L$6),0)</f>
        <v>0</v>
      </c>
      <c r="M78" s="34">
        <f t="shared" si="148"/>
        <v>3.4899998408108646</v>
      </c>
    </row>
    <row r="79" spans="1:13" x14ac:dyDescent="0.25">
      <c r="A79" s="57" t="s">
        <v>81</v>
      </c>
      <c r="B79" t="s">
        <v>71</v>
      </c>
      <c r="C79">
        <f>IF($A80&lt;=C$4,C$5,0)</f>
        <v>0</v>
      </c>
      <c r="D79">
        <f>IF($A80&gt;C$4,IF($A80&lt;=D$4,C$5+(D$5-C$5)*($A80-C$4)/(D$4-C$4),0),0)</f>
        <v>0</v>
      </c>
      <c r="E79">
        <f>IF($A80&gt;D$4,IF($A80&lt;=E$4,D$5+(E$5-D$5)*($A80-D$4)/(E$4-D$4),0),0)</f>
        <v>0</v>
      </c>
      <c r="F79">
        <f t="shared" ref="F79" si="156">IF($A80&gt;E$4,IF($A80&lt;=F$4,E$5+(F$5-E$5)*($A80-E$4)/(F$4-E$4),0),0)</f>
        <v>12.270230465360264</v>
      </c>
      <c r="G79">
        <f t="shared" ref="G79" si="157">IF($A80&gt;F$4,IF($A80&lt;=G$4,F$5+(G$5-F$5)*($A80-F$4)/(G$4-F$4),0),0)</f>
        <v>0</v>
      </c>
      <c r="H79">
        <f t="shared" ref="H79" si="158">IF($A80&gt;G$4,IF($A80&lt;=H$4,G$5+(H$5-G$5)*($A80-G$4)/(H$4-G$4),0),0)</f>
        <v>0</v>
      </c>
      <c r="I79">
        <f t="shared" ref="I79" si="159">IF($A80&gt;H$4,IF($A80&lt;=I$4,H$5+(I$5-H$5)*($A80-H$4)/(I$4-H$4),0),0)</f>
        <v>0</v>
      </c>
      <c r="J79">
        <f t="shared" ref="J79" si="160">IF($A80&gt;I$4,IF($A80&lt;=J$4,I$5+(J$5-I$5)*($A80-I$4)/(J$4-I$4),0),0)</f>
        <v>0</v>
      </c>
      <c r="K79">
        <f t="shared" ref="K79" si="161">IF($A80&gt;J$4,IF($A80&lt;=K$4,J$5+(K$5-J$5)*($A80-J$4)/(K$4-J$4),0),0)</f>
        <v>0</v>
      </c>
      <c r="L79">
        <f>IF($A80&gt;K$4,IF($A80&lt;=L$4,K$5+(L$5-K$5)*($A80-K$4)/(L$4-K$4),L$5),0)</f>
        <v>0</v>
      </c>
      <c r="M79" s="32">
        <f t="shared" si="148"/>
        <v>12.270230465360264</v>
      </c>
    </row>
    <row r="80" spans="1:13" ht="15.75" thickBot="1" x14ac:dyDescent="0.3">
      <c r="A80">
        <f>D75</f>
        <v>1.1933546969912627</v>
      </c>
      <c r="B80" t="s">
        <v>72</v>
      </c>
      <c r="C80">
        <f>IF($A80&lt;=C$4,C$6,0)</f>
        <v>0</v>
      </c>
      <c r="D80">
        <f>IF($A80&gt;C$4,IF($A80&lt;=D$4,C$6+(D$6-C$6)*($A80-C$4)/(D$4-C$4),0),0)</f>
        <v>0</v>
      </c>
      <c r="E80">
        <f t="shared" ref="E80" si="162">IF($A80&gt;D$4,IF($A80&lt;=E$4,D$6+(E$6-D$6)*($A80-D$4)/(E$4-D$4),0),0)</f>
        <v>0</v>
      </c>
      <c r="F80">
        <f t="shared" ref="F80" si="163">IF($A80&gt;E$4,IF($A80&lt;=F$4,E$6+(F$6-E$6)*($A80-E$4)/(F$4-E$4),0),0)</f>
        <v>3.7595390692794735</v>
      </c>
      <c r="G80">
        <f t="shared" ref="G80" si="164">IF($A80&gt;F$4,IF($A80&lt;=G$4,F$6+(G$6-F$6)*($A80-F$4)/(G$4-F$4),0),0)</f>
        <v>0</v>
      </c>
      <c r="H80">
        <f t="shared" ref="H80" si="165">IF($A80&gt;G$4,IF($A80&lt;=H$4,G$6+(H$6-G$6)*($A80-G$4)/(H$4-G$4),0),0)</f>
        <v>0</v>
      </c>
      <c r="I80">
        <f t="shared" ref="I80" si="166">IF($A80&gt;H$4,IF($A80&lt;=I$4,H$6+(I$6-H$6)*($A80-H$4)/(I$4-H$4),0),0)</f>
        <v>0</v>
      </c>
      <c r="J80">
        <f t="shared" ref="J80" si="167">IF($A80&gt;I$4,IF($A80&lt;=J$4,I$6+(J$6-I$6)*($A80-I$4)/(J$4-I$4),0),0)</f>
        <v>0</v>
      </c>
      <c r="K80">
        <f t="shared" ref="K80" si="168">IF($A80&gt;J$4,IF($A80&lt;=K$4,J$6+(K$6-J$6)*($A80-J$4)/(K$4-J$4),0),0)</f>
        <v>0</v>
      </c>
      <c r="L80">
        <f>IF($A80&gt;K$4,IF($A80&lt;=L$4,K$6+(L$6-K$6)*($A80-K$4)/(L$4-K$4),L$6),0)</f>
        <v>0</v>
      </c>
      <c r="M80" s="34">
        <f t="shared" si="148"/>
        <v>3.7595390692794735</v>
      </c>
    </row>
    <row r="81" spans="1:13" x14ac:dyDescent="0.25">
      <c r="A81" s="57" t="s">
        <v>82</v>
      </c>
      <c r="B81" t="s">
        <v>71</v>
      </c>
      <c r="C81">
        <f>IF($A82&lt;=C$4,C$5,0)</f>
        <v>0</v>
      </c>
      <c r="D81">
        <f>IF($A82&gt;C$4,IF($A82&lt;=D$4,C$5+(D$5-C$5)*($A82-C$4)/(D$4-C$4),0),0)</f>
        <v>0</v>
      </c>
      <c r="E81">
        <f>IF($A82&gt;D$4,IF($A82&lt;=E$4,D$5+(E$5-D$5)*($A82-D$4)/(E$4-D$4),0),0)</f>
        <v>0</v>
      </c>
      <c r="F81">
        <f t="shared" ref="F81" si="169">IF($A82&gt;E$4,IF($A82&lt;=F$4,E$5+(F$5-E$5)*($A82-E$4)/(F$4-E$4),0),0)</f>
        <v>0</v>
      </c>
      <c r="G81">
        <f t="shared" ref="G81" si="170">IF($A82&gt;F$4,IF($A82&lt;=G$4,F$5+(G$5-F$5)*($A82-F$4)/(G$4-F$4),0),0)</f>
        <v>12.149958122675198</v>
      </c>
      <c r="H81">
        <f t="shared" ref="H81" si="171">IF($A82&gt;G$4,IF($A82&lt;=H$4,G$5+(H$5-G$5)*($A82-G$4)/(H$4-G$4),0),0)</f>
        <v>0</v>
      </c>
      <c r="I81">
        <f t="shared" ref="I81" si="172">IF($A82&gt;H$4,IF($A82&lt;=I$4,H$5+(I$5-H$5)*($A82-H$4)/(I$4-H$4),0),0)</f>
        <v>0</v>
      </c>
      <c r="J81">
        <f t="shared" ref="J81" si="173">IF($A82&gt;I$4,IF($A82&lt;=J$4,I$5+(J$5-I$5)*($A82-I$4)/(J$4-I$4),0),0)</f>
        <v>0</v>
      </c>
      <c r="K81">
        <f t="shared" ref="K81" si="174">IF($A82&gt;J$4,IF($A82&lt;=K$4,J$5+(K$5-J$5)*($A82-J$4)/(K$4-J$4),0),0)</f>
        <v>0</v>
      </c>
      <c r="L81">
        <f>IF($A82&gt;K$4,IF($A82&lt;=L$4,K$5+(L$5-K$5)*($A82-K$4)/(L$4-K$4),L$5),0)</f>
        <v>0</v>
      </c>
      <c r="M81" s="32">
        <f t="shared" si="148"/>
        <v>12.149958122675198</v>
      </c>
    </row>
    <row r="82" spans="1:13" ht="15.75" thickBot="1" x14ac:dyDescent="0.3">
      <c r="A82">
        <f>E75</f>
        <v>1.5701507583692864</v>
      </c>
      <c r="B82" t="s">
        <v>72</v>
      </c>
      <c r="C82">
        <f>IF($A82&lt;=C$4,C$6,0)</f>
        <v>0</v>
      </c>
      <c r="D82">
        <f>IF($A82&gt;C$4,IF($A82&lt;=D$4,C$6+(D$6-C$6)*($A82-C$4)/(D$4-C$4),0),0)</f>
        <v>0</v>
      </c>
      <c r="E82">
        <f t="shared" ref="E82" si="175">IF($A82&gt;D$4,IF($A82&lt;=E$4,D$6+(E$6-D$6)*($A82-D$4)/(E$4-D$4),0),0)</f>
        <v>0</v>
      </c>
      <c r="F82">
        <f t="shared" ref="F82" si="176">IF($A82&gt;E$4,IF($A82&lt;=F$4,E$6+(F$6-E$6)*($A82-E$4)/(F$4-E$4),0),0)</f>
        <v>0</v>
      </c>
      <c r="G82">
        <f t="shared" ref="G82" si="177">IF($A82&gt;F$4,IF($A82&lt;=G$4,F$6+(G$6-F$6)*($A82-F$4)/(G$4-F$4),0),0)</f>
        <v>4.0000837546496033</v>
      </c>
      <c r="H82">
        <f t="shared" ref="H82" si="178">IF($A82&gt;G$4,IF($A82&lt;=H$4,G$6+(H$6-G$6)*($A82-G$4)/(H$4-G$4),0),0)</f>
        <v>0</v>
      </c>
      <c r="I82">
        <f t="shared" ref="I82" si="179">IF($A82&gt;H$4,IF($A82&lt;=I$4,H$6+(I$6-H$6)*($A82-H$4)/(I$4-H$4),0),0)</f>
        <v>0</v>
      </c>
      <c r="J82">
        <f t="shared" ref="J82" si="180">IF($A82&gt;I$4,IF($A82&lt;=J$4,I$6+(J$6-I$6)*($A82-I$4)/(J$4-I$4),0),0)</f>
        <v>0</v>
      </c>
      <c r="K82">
        <f t="shared" ref="K82" si="181">IF($A82&gt;J$4,IF($A82&lt;=K$4,J$6+(K$6-J$6)*($A82-J$4)/(K$4-J$4),0),0)</f>
        <v>0</v>
      </c>
      <c r="L82">
        <f>IF($A82&gt;K$4,IF($A82&lt;=L$4,K$6+(L$6-K$6)*($A82-K$4)/(L$4-K$4),L$6),0)</f>
        <v>0</v>
      </c>
      <c r="M82" s="34">
        <f t="shared" si="148"/>
        <v>4.0000837546496033</v>
      </c>
    </row>
    <row r="83" spans="1:13" x14ac:dyDescent="0.25">
      <c r="A83" s="57" t="s">
        <v>83</v>
      </c>
      <c r="B83" t="s">
        <v>71</v>
      </c>
      <c r="C83">
        <f>IF($A84&lt;=C$4,C$5,0)</f>
        <v>0</v>
      </c>
      <c r="D83">
        <f>IF($A84&gt;C$4,IF($A84&lt;=D$4,C$5+(D$5-C$5)*($A84-C$4)/(D$4-C$4),0),0)</f>
        <v>0</v>
      </c>
      <c r="E83">
        <f>IF($A84&gt;D$4,IF($A84&lt;=E$4,D$5+(E$5-D$5)*($A84-D$4)/(E$4-D$4),0),0)</f>
        <v>0</v>
      </c>
      <c r="F83">
        <f t="shared" ref="F83" si="182">IF($A84&gt;E$4,IF($A84&lt;=F$4,E$5+(F$5-E$5)*($A84-E$4)/(F$4-E$4),0),0)</f>
        <v>0</v>
      </c>
      <c r="G83">
        <f t="shared" ref="G83" si="183">IF($A84&gt;F$4,IF($A84&lt;=G$4,F$5+(G$5-F$5)*($A84-F$4)/(G$4-F$4),0),0)</f>
        <v>0</v>
      </c>
      <c r="H83">
        <f t="shared" ref="H83" si="184">IF($A84&gt;G$4,IF($A84&lt;=H$4,G$5+(H$5-G$5)*($A84-G$4)/(H$4-G$4),0),0)</f>
        <v>12.046293671711094</v>
      </c>
      <c r="I83">
        <f t="shared" ref="I83" si="185">IF($A84&gt;H$4,IF($A84&lt;=I$4,H$5+(I$5-H$5)*($A84-H$4)/(I$4-H$4),0),0)</f>
        <v>0</v>
      </c>
      <c r="J83">
        <f t="shared" ref="J83" si="186">IF($A84&gt;I$4,IF($A84&lt;=J$4,I$5+(J$5-I$5)*($A84-I$4)/(J$4-I$4),0),0)</f>
        <v>0</v>
      </c>
      <c r="K83">
        <f t="shared" ref="K83" si="187">IF($A84&gt;J$4,IF($A84&lt;=K$4,J$5+(K$5-J$5)*($A84-J$4)/(K$4-J$4),0),0)</f>
        <v>0</v>
      </c>
      <c r="L83">
        <f>IF($A84&gt;K$4,IF($A84&lt;=L$4,K$5+(L$5-K$5)*($A84-K$4)/(L$4-K$4),L$5),0)</f>
        <v>0</v>
      </c>
      <c r="M83" s="32">
        <f t="shared" si="148"/>
        <v>12.046293671711094</v>
      </c>
    </row>
    <row r="84" spans="1:13" ht="15.75" thickBot="1" x14ac:dyDescent="0.3">
      <c r="A84">
        <f>F75</f>
        <v>1.9970491101289642</v>
      </c>
      <c r="B84" t="s">
        <v>72</v>
      </c>
      <c r="C84">
        <f>IF($A84&lt;=C$4,C$6,0)</f>
        <v>0</v>
      </c>
      <c r="D84">
        <f>IF($A84&gt;C$4,IF($A84&lt;=D$4,C$6+(D$6-C$6)*($A84-C$4)/(D$4-C$4),0),0)</f>
        <v>0</v>
      </c>
      <c r="E84">
        <f t="shared" ref="E84" si="188">IF($A84&gt;D$4,IF($A84&lt;=E$4,D$6+(E$6-D$6)*($A84-D$4)/(E$4-D$4),0),0)</f>
        <v>0</v>
      </c>
      <c r="F84">
        <f t="shared" ref="F84" si="189">IF($A84&gt;E$4,IF($A84&lt;=F$4,E$6+(F$6-E$6)*($A84-E$4)/(F$4-E$4),0),0)</f>
        <v>0</v>
      </c>
      <c r="G84">
        <f t="shared" ref="G84" si="190">IF($A84&gt;F$4,IF($A84&lt;=G$4,F$6+(G$6-F$6)*($A84-F$4)/(G$4-F$4),0),0)</f>
        <v>0</v>
      </c>
      <c r="H84">
        <f t="shared" ref="H84" si="191">IF($A84&gt;G$4,IF($A84&lt;=H$4,G$6+(H$6-G$6)*($A84-G$4)/(H$4-G$4),0),0)</f>
        <v>4.3148253131556213</v>
      </c>
      <c r="I84">
        <f t="shared" ref="I84" si="192">IF($A84&gt;H$4,IF($A84&lt;=I$4,H$6+(I$6-H$6)*($A84-H$4)/(I$4-H$4),0),0)</f>
        <v>0</v>
      </c>
      <c r="J84">
        <f t="shared" ref="J84" si="193">IF($A84&gt;I$4,IF($A84&lt;=J$4,I$6+(J$6-I$6)*($A84-I$4)/(J$4-I$4),0),0)</f>
        <v>0</v>
      </c>
      <c r="K84">
        <f t="shared" ref="K84" si="194">IF($A84&gt;J$4,IF($A84&lt;=K$4,J$6+(K$6-J$6)*($A84-J$4)/(K$4-J$4),0),0)</f>
        <v>0</v>
      </c>
      <c r="L84">
        <f>IF($A84&gt;K$4,IF($A84&lt;=L$4,K$6+(L$6-K$6)*($A84-K$4)/(L$4-K$4),L$6),0)</f>
        <v>0</v>
      </c>
      <c r="M84" s="34">
        <f t="shared" si="148"/>
        <v>4.3148253131556213</v>
      </c>
    </row>
    <row r="85" spans="1:13" x14ac:dyDescent="0.25">
      <c r="A85" s="57" t="s">
        <v>84</v>
      </c>
      <c r="B85" t="s">
        <v>71</v>
      </c>
      <c r="C85">
        <f>IF($A86&lt;=C$4,C$5,0)</f>
        <v>0</v>
      </c>
      <c r="D85">
        <f>IF($A86&gt;C$4,IF($A86&lt;=D$4,C$5+(D$5-C$5)*($A86-C$4)/(D$4-C$4),0),0)</f>
        <v>0</v>
      </c>
      <c r="E85">
        <f>IF($A86&gt;D$4,IF($A86&lt;=E$4,D$5+(E$5-D$5)*($A86-D$4)/(E$4-D$4),0),0)</f>
        <v>0</v>
      </c>
      <c r="F85">
        <f t="shared" ref="F85" si="195">IF($A86&gt;E$4,IF($A86&lt;=F$4,E$5+(F$5-E$5)*($A86-E$4)/(F$4-E$4),0),0)</f>
        <v>0</v>
      </c>
      <c r="G85">
        <f t="shared" ref="G85" si="196">IF($A86&gt;F$4,IF($A86&lt;=G$4,F$5+(G$5-F$5)*($A86-F$4)/(G$4-F$4),0),0)</f>
        <v>0</v>
      </c>
      <c r="H85">
        <f t="shared" ref="H85" si="197">IF($A86&gt;G$4,IF($A86&lt;=H$4,G$5+(H$5-G$5)*($A86-G$4)/(H$4-G$4),0),0)</f>
        <v>0</v>
      </c>
      <c r="I85">
        <f t="shared" ref="I85" si="198">IF($A86&gt;H$4,IF($A86&lt;=I$4,H$5+(I$5-H$5)*($A86-H$4)/(I$4-H$4),0),0)</f>
        <v>12</v>
      </c>
      <c r="J85">
        <f t="shared" ref="J85" si="199">IF($A86&gt;I$4,IF($A86&lt;=J$4,I$5+(J$5-I$5)*($A86-I$4)/(J$4-I$4),0),0)</f>
        <v>0</v>
      </c>
      <c r="K85">
        <f t="shared" ref="K85" si="200">IF($A86&gt;J$4,IF($A86&lt;=K$4,J$5+(K$5-J$5)*($A86-J$4)/(K$4-J$4),0),0)</f>
        <v>0</v>
      </c>
      <c r="L85">
        <f>IF($A86&gt;K$4,IF($A86&lt;=L$4,K$5+(L$5-K$5)*($A86-K$4)/(L$4-K$4),L$5),0)</f>
        <v>0</v>
      </c>
      <c r="M85" s="32">
        <f t="shared" si="148"/>
        <v>12</v>
      </c>
    </row>
    <row r="86" spans="1:13" ht="15.75" thickBot="1" x14ac:dyDescent="0.3">
      <c r="A86">
        <f>G75</f>
        <v>2.490695341395778</v>
      </c>
      <c r="B86" t="s">
        <v>72</v>
      </c>
      <c r="C86">
        <f>IF($A86&lt;=C$4,C$6,0)</f>
        <v>0</v>
      </c>
      <c r="D86">
        <f>IF($A86&gt;C$4,IF($A86&lt;=D$4,C$6+(D$6-C$6)*($A86-C$4)/(D$4-C$4),0),0)</f>
        <v>0</v>
      </c>
      <c r="E86">
        <f t="shared" ref="E86" si="201">IF($A86&gt;D$4,IF($A86&lt;=E$4,D$6+(E$6-D$6)*($A86-D$4)/(E$4-D$4),0),0)</f>
        <v>0</v>
      </c>
      <c r="F86">
        <f t="shared" ref="F86" si="202">IF($A86&gt;E$4,IF($A86&lt;=F$4,E$6+(F$6-E$6)*($A86-E$4)/(F$4-E$4),0),0)</f>
        <v>0</v>
      </c>
      <c r="G86">
        <f t="shared" ref="G86" si="203">IF($A86&gt;F$4,IF($A86&lt;=G$4,F$6+(G$6-F$6)*($A86-F$4)/(G$4-F$4),0),0)</f>
        <v>0</v>
      </c>
      <c r="H86">
        <f t="shared" ref="H86" si="204">IF($A86&gt;G$4,IF($A86&lt;=H$4,G$6+(H$6-G$6)*($A86-G$4)/(H$4-G$4),0),0)</f>
        <v>0</v>
      </c>
      <c r="I86">
        <f t="shared" ref="I86" si="205">IF($A86&gt;H$4,IF($A86&lt;=I$4,H$6+(I$6-H$6)*($A86-H$4)/(I$4-H$4),0),0)</f>
        <v>4.9210430120936675</v>
      </c>
      <c r="J86">
        <f t="shared" ref="J86" si="206">IF($A86&gt;I$4,IF($A86&lt;=J$4,I$6+(J$6-I$6)*($A86-I$4)/(J$4-I$4),0),0)</f>
        <v>0</v>
      </c>
      <c r="K86">
        <f t="shared" ref="K86" si="207">IF($A86&gt;J$4,IF($A86&lt;=K$4,J$6+(K$6-J$6)*($A86-J$4)/(K$4-J$4),0),0)</f>
        <v>0</v>
      </c>
      <c r="L86">
        <f>IF($A86&gt;K$4,IF($A86&lt;=L$4,K$6+(L$6-K$6)*($A86-K$4)/(L$4-K$4),L$6),0)</f>
        <v>0</v>
      </c>
      <c r="M86" s="34">
        <f t="shared" si="148"/>
        <v>4.9210430120936675</v>
      </c>
    </row>
    <row r="87" spans="1:13" x14ac:dyDescent="0.25">
      <c r="A87" s="57" t="s">
        <v>85</v>
      </c>
      <c r="B87" t="s">
        <v>71</v>
      </c>
      <c r="C87">
        <f>IF($A88&lt;=C$4,C$5,0)</f>
        <v>0</v>
      </c>
      <c r="D87">
        <f>IF($A88&gt;C$4,IF($A88&lt;=D$4,C$5+(D$5-C$5)*($A88-C$4)/(D$4-C$4),0),0)</f>
        <v>0</v>
      </c>
      <c r="E87">
        <f>IF($A88&gt;D$4,IF($A88&lt;=E$4,D$5+(E$5-D$5)*($A88-D$4)/(E$4-D$4),0),0)</f>
        <v>0</v>
      </c>
      <c r="F87">
        <f t="shared" ref="F87" si="208">IF($A88&gt;E$4,IF($A88&lt;=F$4,E$5+(F$5-E$5)*($A88-E$4)/(F$4-E$4),0),0)</f>
        <v>0</v>
      </c>
      <c r="G87">
        <f t="shared" ref="G87" si="209">IF($A88&gt;F$4,IF($A88&lt;=G$4,F$5+(G$5-F$5)*($A88-F$4)/(G$4-F$4),0),0)</f>
        <v>0</v>
      </c>
      <c r="H87">
        <f t="shared" ref="H87" si="210">IF($A88&gt;G$4,IF($A88&lt;=H$4,G$5+(H$5-G$5)*($A88-G$4)/(H$4-G$4),0),0)</f>
        <v>0</v>
      </c>
      <c r="I87">
        <f t="shared" ref="I87" si="211">IF($A88&gt;H$4,IF($A88&lt;=I$4,H$5+(I$5-H$5)*($A88-H$4)/(I$4-H$4),0),0)</f>
        <v>0</v>
      </c>
      <c r="J87">
        <f t="shared" ref="J87" si="212">IF($A88&gt;I$4,IF($A88&lt;=J$4,I$5+(J$5-I$5)*($A88-I$4)/(J$4-I$4),0),0)</f>
        <v>11.973407551482978</v>
      </c>
      <c r="K87">
        <f t="shared" ref="K87" si="213">IF($A88&gt;J$4,IF($A88&lt;=K$4,J$5+(K$5-J$5)*($A88-J$4)/(K$4-J$4),0),0)</f>
        <v>0</v>
      </c>
      <c r="L87">
        <f>IF($A88&gt;K$4,IF($A88&lt;=L$4,K$5+(L$5-K$5)*($A88-K$4)/(L$4-K$4),L$5),0)</f>
        <v>0</v>
      </c>
      <c r="M87" s="32">
        <f t="shared" si="148"/>
        <v>11.973407551482978</v>
      </c>
    </row>
    <row r="88" spans="1:13" ht="15.75" thickBot="1" x14ac:dyDescent="0.3">
      <c r="A88">
        <f>H75</f>
        <v>3.0732652403185234</v>
      </c>
      <c r="B88" t="s">
        <v>72</v>
      </c>
      <c r="C88">
        <f>IF($A88&lt;=C$4,C$6,0)</f>
        <v>0</v>
      </c>
      <c r="D88">
        <f>IF($A88&gt;C$4,IF($A88&lt;=D$4,C$6+(D$6-C$6)*($A88-C$4)/(D$4-C$4),0),0)</f>
        <v>0</v>
      </c>
      <c r="E88">
        <f t="shared" ref="E88" si="214">IF($A88&gt;D$4,IF($A88&lt;=E$4,D$6+(E$6-D$6)*($A88-D$4)/(E$4-D$4),0),0)</f>
        <v>0</v>
      </c>
      <c r="F88">
        <f t="shared" ref="F88" si="215">IF($A88&gt;E$4,IF($A88&lt;=F$4,E$6+(F$6-E$6)*($A88-E$4)/(F$4-E$4),0),0)</f>
        <v>0</v>
      </c>
      <c r="G88">
        <f t="shared" ref="G88" si="216">IF($A88&gt;F$4,IF($A88&lt;=G$4,F$6+(G$6-F$6)*($A88-F$4)/(G$4-F$4),0),0)</f>
        <v>0</v>
      </c>
      <c r="H88">
        <f t="shared" ref="H88" si="217">IF($A88&gt;G$4,IF($A88&lt;=H$4,G$6+(H$6-G$6)*($A88-G$4)/(H$4-G$4),0),0)</f>
        <v>0</v>
      </c>
      <c r="I88">
        <f t="shared" ref="I88" si="218">IF($A88&gt;H$4,IF($A88&lt;=I$4,H$6+(I$6-H$6)*($A88-H$4)/(I$4-H$4),0),0)</f>
        <v>0</v>
      </c>
      <c r="J88">
        <f t="shared" ref="J88" si="219">IF($A88&gt;I$4,IF($A88&lt;=J$4,I$6+(J$6-I$6)*($A88-I$4)/(J$4-I$4),0),0)</f>
        <v>5.6659244851702262</v>
      </c>
      <c r="K88">
        <f t="shared" ref="K88" si="220">IF($A88&gt;J$4,IF($A88&lt;=K$4,J$6+(K$6-J$6)*($A88-J$4)/(K$4-J$4),0),0)</f>
        <v>0</v>
      </c>
      <c r="L88">
        <f>IF($A88&gt;K$4,IF($A88&lt;=L$4,K$6+(L$6-K$6)*($A88-K$4)/(L$4-K$4),L$6),0)</f>
        <v>0</v>
      </c>
      <c r="M88" s="34">
        <f t="shared" si="148"/>
        <v>5.6659244851702262</v>
      </c>
    </row>
    <row r="89" spans="1:13" x14ac:dyDescent="0.25">
      <c r="A89" s="57" t="s">
        <v>86</v>
      </c>
      <c r="B89" t="s">
        <v>71</v>
      </c>
      <c r="C89">
        <f>IF($A90&lt;=C$4,C$5,0)</f>
        <v>0</v>
      </c>
      <c r="D89">
        <f>IF($A90&gt;C$4,IF($A90&lt;=D$4,C$5+(D$5-C$5)*($A90-C$4)/(D$4-C$4),0),0)</f>
        <v>0</v>
      </c>
      <c r="E89">
        <f>IF($A90&gt;D$4,IF($A90&lt;=E$4,D$5+(E$5-D$5)*($A90-D$4)/(E$4-D$4),0),0)</f>
        <v>0</v>
      </c>
      <c r="F89">
        <f t="shared" ref="F89" si="221">IF($A90&gt;E$4,IF($A90&lt;=F$4,E$5+(F$5-E$5)*($A90-E$4)/(F$4-E$4),0),0)</f>
        <v>0</v>
      </c>
      <c r="G89">
        <f t="shared" ref="G89" si="222">IF($A90&gt;F$4,IF($A90&lt;=G$4,F$5+(G$5-F$5)*($A90-F$4)/(G$4-F$4),0),0)</f>
        <v>0</v>
      </c>
      <c r="H89">
        <f t="shared" ref="H89" si="223">IF($A90&gt;G$4,IF($A90&lt;=H$4,G$5+(H$5-G$5)*($A90-G$4)/(H$4-G$4),0),0)</f>
        <v>0</v>
      </c>
      <c r="I89">
        <f t="shared" ref="I89" si="224">IF($A90&gt;H$4,IF($A90&lt;=I$4,H$5+(I$5-H$5)*($A90-H$4)/(I$4-H$4),0),0)</f>
        <v>0</v>
      </c>
      <c r="J89">
        <f t="shared" ref="J89" si="225">IF($A90&gt;I$4,IF($A90&lt;=J$4,I$5+(J$5-I$5)*($A90-I$4)/(J$4-I$4),0),0)</f>
        <v>11.902595747100836</v>
      </c>
      <c r="K89">
        <f t="shared" ref="K89" si="226">IF($A90&gt;J$4,IF($A90&lt;=K$4,J$5+(K$5-J$5)*($A90-J$4)/(K$4-J$4),0),0)</f>
        <v>0</v>
      </c>
      <c r="L89">
        <f>IF($A90&gt;K$4,IF($A90&lt;=L$4,K$5+(L$5-K$5)*($A90-K$4)/(L$4-K$4),L$5),0)</f>
        <v>0</v>
      </c>
      <c r="M89" s="32">
        <f t="shared" si="148"/>
        <v>11.902595747100836</v>
      </c>
    </row>
    <row r="90" spans="1:13" ht="15.75" thickBot="1" x14ac:dyDescent="0.3">
      <c r="A90">
        <f>I75</f>
        <v>3.7743021037017215</v>
      </c>
      <c r="B90" t="s">
        <v>72</v>
      </c>
      <c r="C90">
        <f>IF($A90&lt;=C$4,C$6,0)</f>
        <v>0</v>
      </c>
      <c r="D90">
        <f>IF($A90&gt;C$4,IF($A90&lt;=D$4,C$6+(D$6-C$6)*($A90-C$4)/(D$4-C$4),0),0)</f>
        <v>0</v>
      </c>
      <c r="E90">
        <f t="shared" ref="E90" si="227">IF($A90&gt;D$4,IF($A90&lt;=E$4,D$6+(E$6-D$6)*($A90-D$4)/(E$4-D$4),0),0)</f>
        <v>0</v>
      </c>
      <c r="F90">
        <f t="shared" ref="F90" si="228">IF($A90&gt;E$4,IF($A90&lt;=F$4,E$6+(F$6-E$6)*($A90-E$4)/(F$4-E$4),0),0)</f>
        <v>0</v>
      </c>
      <c r="G90">
        <f t="shared" ref="G90" si="229">IF($A90&gt;F$4,IF($A90&lt;=G$4,F$6+(G$6-F$6)*($A90-F$4)/(G$4-F$4),0),0)</f>
        <v>0</v>
      </c>
      <c r="H90">
        <f t="shared" ref="H90" si="230">IF($A90&gt;G$4,IF($A90&lt;=H$4,G$6+(H$6-G$6)*($A90-G$4)/(H$4-G$4),0),0)</f>
        <v>0</v>
      </c>
      <c r="I90">
        <f t="shared" ref="I90" si="231">IF($A90&gt;H$4,IF($A90&lt;=I$4,H$6+(I$6-H$6)*($A90-H$4)/(I$4-H$4),0),0)</f>
        <v>0</v>
      </c>
      <c r="J90">
        <f t="shared" ref="J90" si="232">IF($A90&gt;I$4,IF($A90&lt;=J$4,I$6+(J$6-I$6)*($A90-I$4)/(J$4-I$4),0),0)</f>
        <v>6.3740425289916383</v>
      </c>
      <c r="K90">
        <f t="shared" ref="K90" si="233">IF($A90&gt;J$4,IF($A90&lt;=K$4,J$6+(K$6-J$6)*($A90-J$4)/(K$4-J$4),0),0)</f>
        <v>0</v>
      </c>
      <c r="L90">
        <f>IF($A90&gt;K$4,IF($A90&lt;=L$4,K$6+(L$6-K$6)*($A90-K$4)/(L$4-K$4),L$6),0)</f>
        <v>0</v>
      </c>
      <c r="M90" s="34">
        <f t="shared" si="148"/>
        <v>6.3740425289916383</v>
      </c>
    </row>
    <row r="91" spans="1:13" x14ac:dyDescent="0.25">
      <c r="A91" s="57" t="s">
        <v>87</v>
      </c>
      <c r="B91" t="s">
        <v>71</v>
      </c>
      <c r="C91">
        <f>IF($A92&lt;=C$4,C$5,0)</f>
        <v>0</v>
      </c>
      <c r="D91">
        <f>IF($A92&gt;C$4,IF($A92&lt;=D$4,C$5+(D$5-C$5)*($A92-C$4)/(D$4-C$4),0),0)</f>
        <v>0</v>
      </c>
      <c r="E91">
        <f>IF($A92&gt;D$4,IF($A92&lt;=E$4,D$5+(E$5-D$5)*($A92-D$4)/(E$4-D$4),0),0)</f>
        <v>0</v>
      </c>
      <c r="F91">
        <f t="shared" ref="F91" si="234">IF($A92&gt;E$4,IF($A92&lt;=F$4,E$5+(F$5-E$5)*($A92-E$4)/(F$4-E$4),0),0)</f>
        <v>0</v>
      </c>
      <c r="G91">
        <f t="shared" ref="G91" si="235">IF($A92&gt;F$4,IF($A92&lt;=G$4,F$5+(G$5-F$5)*($A92-F$4)/(G$4-F$4),0),0)</f>
        <v>0</v>
      </c>
      <c r="H91">
        <f t="shared" ref="H91" si="236">IF($A92&gt;G$4,IF($A92&lt;=H$4,G$5+(H$5-G$5)*($A92-G$4)/(H$4-G$4),0),0)</f>
        <v>0</v>
      </c>
      <c r="I91">
        <f t="shared" ref="I91" si="237">IF($A92&gt;H$4,IF($A92&lt;=I$4,H$5+(I$5-H$5)*($A92-H$4)/(I$4-H$4),0),0)</f>
        <v>0</v>
      </c>
      <c r="J91">
        <f t="shared" ref="J91" si="238">IF($A92&gt;I$4,IF($A92&lt;=J$4,I$5+(J$5-I$5)*($A92-I$4)/(J$4-I$4),0),0)</f>
        <v>0</v>
      </c>
      <c r="K91">
        <f t="shared" ref="K91" si="239">IF($A92&gt;J$4,IF($A92&lt;=K$4,J$5+(K$5-J$5)*($A92-J$4)/(K$4-J$4),0),0)</f>
        <v>11.824940138750025</v>
      </c>
      <c r="L91">
        <f>IF($A92&gt;K$4,IF($A92&lt;=L$4,K$5+(L$5-K$5)*($A92-K$4)/(L$4-K$4),L$5),0)</f>
        <v>0</v>
      </c>
      <c r="M91" s="32">
        <f t="shared" si="148"/>
        <v>11.824940138750025</v>
      </c>
    </row>
    <row r="92" spans="1:13" ht="15.75" thickBot="1" x14ac:dyDescent="0.3">
      <c r="A92">
        <f>J75</f>
        <v>4.6331644598747257</v>
      </c>
      <c r="B92" t="s">
        <v>72</v>
      </c>
      <c r="C92">
        <f>IF($A92&lt;=C$4,C$6,0)</f>
        <v>0</v>
      </c>
      <c r="D92">
        <f>IF($A92&gt;C$4,IF($A92&lt;=D$4,C$6+(D$6-C$6)*($A92-C$4)/(D$4-C$4),0),0)</f>
        <v>0</v>
      </c>
      <c r="E92">
        <f t="shared" ref="E92" si="240">IF($A92&gt;D$4,IF($A92&lt;=E$4,D$6+(E$6-D$6)*($A92-D$4)/(E$4-D$4),0),0)</f>
        <v>0</v>
      </c>
      <c r="F92">
        <f t="shared" ref="F92" si="241">IF($A92&gt;E$4,IF($A92&lt;=F$4,E$6+(F$6-E$6)*($A92-E$4)/(F$4-E$4),0),0)</f>
        <v>0</v>
      </c>
      <c r="G92">
        <f t="shared" ref="G92" si="242">IF($A92&gt;F$4,IF($A92&lt;=G$4,F$6+(G$6-F$6)*($A92-F$4)/(G$4-F$4),0),0)</f>
        <v>0</v>
      </c>
      <c r="H92">
        <f t="shared" ref="H92" si="243">IF($A92&gt;G$4,IF($A92&lt;=H$4,G$6+(H$6-G$6)*($A92-G$4)/(H$4-G$4),0),0)</f>
        <v>0</v>
      </c>
      <c r="I92">
        <f t="shared" ref="I92" si="244">IF($A92&gt;H$4,IF($A92&lt;=I$4,H$6+(I$6-H$6)*($A92-H$4)/(I$4-H$4),0),0)</f>
        <v>0</v>
      </c>
      <c r="J92">
        <f t="shared" ref="J92" si="245">IF($A92&gt;I$4,IF($A92&lt;=J$4,I$6+(J$6-I$6)*($A92-I$4)/(J$4-I$4),0),0)</f>
        <v>0</v>
      </c>
      <c r="K92">
        <f t="shared" ref="K92" si="246">IF($A92&gt;J$4,IF($A92&lt;=K$4,J$6+(K$6-J$6)*($A92-J$4)/(K$4-J$4),0),0)</f>
        <v>8.5392060456242955</v>
      </c>
      <c r="L92">
        <f>IF($A92&gt;K$4,IF($A92&lt;=L$4,K$6+(L$6-K$6)*($A92-K$4)/(L$4-K$4),L$6),0)</f>
        <v>0</v>
      </c>
      <c r="M92" s="34">
        <f t="shared" si="148"/>
        <v>8.5392060456242955</v>
      </c>
    </row>
    <row r="93" spans="1:13" x14ac:dyDescent="0.25">
      <c r="A93" s="57" t="s">
        <v>88</v>
      </c>
      <c r="B93" t="s">
        <v>71</v>
      </c>
      <c r="C93">
        <f>IF($A94&lt;=C$4,C$5,0)</f>
        <v>0</v>
      </c>
      <c r="D93">
        <f>IF($A94&gt;C$4,IF($A94&lt;=D$4,C$5+(D$5-C$5)*($A94-C$4)/(D$4-C$4),0),0)</f>
        <v>0</v>
      </c>
      <c r="E93">
        <f>IF($A94&gt;D$4,IF($A94&lt;=E$4,D$5+(E$5-D$5)*($A94-D$4)/(E$4-D$4),0),0)</f>
        <v>0</v>
      </c>
      <c r="F93">
        <f t="shared" ref="F93" si="247">IF($A94&gt;E$4,IF($A94&lt;=F$4,E$5+(F$5-E$5)*($A94-E$4)/(F$4-E$4),0),0)</f>
        <v>0</v>
      </c>
      <c r="G93">
        <f t="shared" ref="G93" si="248">IF($A94&gt;F$4,IF($A94&lt;=G$4,F$5+(G$5-F$5)*($A94-F$4)/(G$4-F$4),0),0)</f>
        <v>0</v>
      </c>
      <c r="H93">
        <f t="shared" ref="H93" si="249">IF($A94&gt;G$4,IF($A94&lt;=H$4,G$5+(H$5-G$5)*($A94-G$4)/(H$4-G$4),0),0)</f>
        <v>0</v>
      </c>
      <c r="I93">
        <f t="shared" ref="I93" si="250">IF($A94&gt;H$4,IF($A94&lt;=I$4,H$5+(I$5-H$5)*($A94-H$4)/(I$4-H$4),0),0)</f>
        <v>0</v>
      </c>
      <c r="J93">
        <f t="shared" ref="J93" si="251">IF($A94&gt;I$4,IF($A94&lt;=J$4,I$5+(J$5-I$5)*($A94-I$4)/(J$4-I$4),0),0)</f>
        <v>0</v>
      </c>
      <c r="K93">
        <f t="shared" ref="K93" si="252">IF($A94&gt;J$4,IF($A94&lt;=K$4,J$5+(K$5-J$5)*($A94-J$4)/(K$4-J$4),0),0)</f>
        <v>0</v>
      </c>
      <c r="L93">
        <f>IF($A94&gt;K$4,IF($A94&lt;=L$4,K$5+(L$5-K$5)*($A94-K$4)/(L$4-K$4),L$5),0)</f>
        <v>11.771804732965526</v>
      </c>
      <c r="M93" s="32">
        <f t="shared" si="148"/>
        <v>11.771804732965526</v>
      </c>
    </row>
    <row r="94" spans="1:13" ht="15.75" thickBot="1" x14ac:dyDescent="0.3">
      <c r="A94">
        <f>K75</f>
        <v>5.7022870036687303</v>
      </c>
      <c r="B94" t="s">
        <v>72</v>
      </c>
      <c r="C94">
        <f>IF($A94&lt;=C$4,C$6,0)</f>
        <v>0</v>
      </c>
      <c r="D94">
        <f>IF($A94&gt;C$4,IF($A94&lt;=D$4,C$6+(D$6-C$6)*($A94-C$4)/(D$4-C$4),0),0)</f>
        <v>0</v>
      </c>
      <c r="E94">
        <f t="shared" ref="E94" si="253">IF($A94&gt;D$4,IF($A94&lt;=E$4,D$6+(E$6-D$6)*($A94-D$4)/(E$4-D$4),0),0)</f>
        <v>0</v>
      </c>
      <c r="F94">
        <f t="shared" ref="F94" si="254">IF($A94&gt;E$4,IF($A94&lt;=F$4,E$6+(F$6-E$6)*($A94-E$4)/(F$4-E$4),0),0)</f>
        <v>0</v>
      </c>
      <c r="G94">
        <f t="shared" ref="G94" si="255">IF($A94&gt;F$4,IF($A94&lt;=G$4,F$6+(G$6-F$6)*($A94-F$4)/(G$4-F$4),0),0)</f>
        <v>0</v>
      </c>
      <c r="H94">
        <f t="shared" ref="H94" si="256">IF($A94&gt;G$4,IF($A94&lt;=H$4,G$6+(H$6-G$6)*($A94-G$4)/(H$4-G$4),0),0)</f>
        <v>0</v>
      </c>
      <c r="I94">
        <f t="shared" ref="I94" si="257">IF($A94&gt;H$4,IF($A94&lt;=I$4,H$6+(I$6-H$6)*($A94-H$4)/(I$4-H$4),0),0)</f>
        <v>0</v>
      </c>
      <c r="J94">
        <f t="shared" ref="J94" si="258">IF($A94&gt;I$4,IF($A94&lt;=J$4,I$6+(J$6-I$6)*($A94-I$4)/(J$4-I$4),0),0)</f>
        <v>0</v>
      </c>
      <c r="K94">
        <f t="shared" ref="K94" si="259">IF($A94&gt;J$4,IF($A94&lt;=K$4,J$6+(K$6-J$6)*($A94-J$4)/(K$4-J$4),0),0)</f>
        <v>0</v>
      </c>
      <c r="L94">
        <f>IF($A94&gt;K$4,IF($A94&lt;=L$4,K$6+(L$6-K$6)*($A94-K$4)/(L$4-K$4),L$6),0)</f>
        <v>10.476494115999635</v>
      </c>
      <c r="M94" s="34">
        <f t="shared" si="148"/>
        <v>10.476494115999635</v>
      </c>
    </row>
    <row r="95" spans="1:13" x14ac:dyDescent="0.25">
      <c r="A95" s="57" t="s">
        <v>89</v>
      </c>
      <c r="B95" t="s">
        <v>71</v>
      </c>
      <c r="C95">
        <f>IF($A96&lt;=C$4,C$5,0)</f>
        <v>0</v>
      </c>
      <c r="D95">
        <f>IF($A96&gt;C$4,IF($A96&lt;=D$4,C$5+(D$5-C$5)*($A96-C$4)/(D$4-C$4),0),0)</f>
        <v>0</v>
      </c>
      <c r="E95">
        <f>IF($A96&gt;D$4,IF($A96&lt;=E$4,D$5+(E$5-D$5)*($A96-D$4)/(E$4-D$4),0),0)</f>
        <v>0</v>
      </c>
      <c r="F95">
        <f t="shared" ref="F95" si="260">IF($A96&gt;E$4,IF($A96&lt;=F$4,E$5+(F$5-E$5)*($A96-E$4)/(F$4-E$4),0),0)</f>
        <v>0</v>
      </c>
      <c r="G95">
        <f t="shared" ref="G95" si="261">IF($A96&gt;F$4,IF($A96&lt;=G$4,F$5+(G$5-F$5)*($A96-F$4)/(G$4-F$4),0),0)</f>
        <v>0</v>
      </c>
      <c r="H95">
        <f t="shared" ref="H95" si="262">IF($A96&gt;G$4,IF($A96&lt;=H$4,G$5+(H$5-G$5)*($A96-G$4)/(H$4-G$4),0),0)</f>
        <v>0</v>
      </c>
      <c r="I95">
        <f t="shared" ref="I95" si="263">IF($A96&gt;H$4,IF($A96&lt;=I$4,H$5+(I$5-H$5)*($A96-H$4)/(I$4-H$4),0),0)</f>
        <v>0</v>
      </c>
      <c r="J95">
        <f t="shared" ref="J95" si="264">IF($A96&gt;I$4,IF($A96&lt;=J$4,I$5+(J$5-I$5)*($A96-I$4)/(J$4-I$4),0),0)</f>
        <v>0</v>
      </c>
      <c r="K95">
        <f t="shared" ref="K95" si="265">IF($A96&gt;J$4,IF($A96&lt;=K$4,J$5+(K$5-J$5)*($A96-J$4)/(K$4-J$4),0),0)</f>
        <v>0</v>
      </c>
      <c r="L95">
        <f>IF($A96&gt;K$4,IF($A96&lt;=L$4,K$5+(L$5-K$5)*($A96-K$4)/(L$4-K$4),L$5),0)</f>
        <v>11.723789148801862</v>
      </c>
      <c r="M95" s="32">
        <f t="shared" si="148"/>
        <v>11.723789148801862</v>
      </c>
    </row>
    <row r="96" spans="1:13" ht="15.75" thickBot="1" x14ac:dyDescent="0.3">
      <c r="A96">
        <f>L75</f>
        <v>7.0515249186676661</v>
      </c>
      <c r="B96" t="s">
        <v>72</v>
      </c>
      <c r="C96">
        <f>IF($A96&lt;=C$4,C$6,0)</f>
        <v>0</v>
      </c>
      <c r="D96">
        <f>IF($A96&gt;C$4,IF($A96&lt;=D$4,C$6+(D$6-C$6)*($A96-C$4)/(D$4-C$4),0),0)</f>
        <v>0</v>
      </c>
      <c r="E96">
        <f t="shared" ref="E96" si="266">IF($A96&gt;D$4,IF($A96&lt;=E$4,D$6+(E$6-D$6)*($A96-D$4)/(E$4-D$4),0),0)</f>
        <v>0</v>
      </c>
      <c r="F96">
        <f t="shared" ref="F96" si="267">IF($A96&gt;E$4,IF($A96&lt;=F$4,E$6+(F$6-E$6)*($A96-E$4)/(F$4-E$4),0),0)</f>
        <v>0</v>
      </c>
      <c r="G96">
        <f t="shared" ref="G96" si="268">IF($A96&gt;F$4,IF($A96&lt;=G$4,F$6+(G$6-F$6)*($A96-F$4)/(G$4-F$4),0),0)</f>
        <v>0</v>
      </c>
      <c r="H96">
        <f t="shared" ref="H96" si="269">IF($A96&gt;G$4,IF($A96&lt;=H$4,G$6+(H$6-G$6)*($A96-G$4)/(H$4-G$4),0),0)</f>
        <v>0</v>
      </c>
      <c r="I96">
        <f t="shared" ref="I96" si="270">IF($A96&gt;H$4,IF($A96&lt;=I$4,H$6+(I$6-H$6)*($A96-H$4)/(I$4-H$4),0),0)</f>
        <v>0</v>
      </c>
      <c r="J96">
        <f t="shared" ref="J96" si="271">IF($A96&gt;I$4,IF($A96&lt;=J$4,I$6+(J$6-I$6)*($A96-I$4)/(J$4-I$4),0),0)</f>
        <v>0</v>
      </c>
      <c r="K96">
        <f t="shared" ref="K96" si="272">IF($A96&gt;J$4,IF($A96&lt;=K$4,J$6+(K$6-J$6)*($A96-J$4)/(K$4-J$4),0),0)</f>
        <v>0</v>
      </c>
      <c r="L96">
        <f>IF($A96&gt;K$4,IF($A96&lt;=L$4,K$6+(L$6-K$6)*($A96-K$4)/(L$4-K$4),L$6),0)</f>
        <v>12.565172027118985</v>
      </c>
      <c r="M96" s="34">
        <f t="shared" si="148"/>
        <v>12.565172027118985</v>
      </c>
    </row>
    <row r="98" spans="1:13" x14ac:dyDescent="0.25">
      <c r="B98" t="s">
        <v>90</v>
      </c>
    </row>
    <row r="99" spans="1:13" ht="15.75" thickBot="1" x14ac:dyDescent="0.3">
      <c r="C99" s="25">
        <v>1</v>
      </c>
      <c r="D99" s="25">
        <v>2</v>
      </c>
      <c r="E99" s="25">
        <v>3</v>
      </c>
      <c r="F99" s="25">
        <v>4</v>
      </c>
      <c r="G99" s="25">
        <v>5</v>
      </c>
      <c r="H99" s="25">
        <v>6</v>
      </c>
      <c r="I99" s="25">
        <v>7</v>
      </c>
      <c r="J99" s="25">
        <v>8</v>
      </c>
      <c r="K99" s="25">
        <v>9</v>
      </c>
      <c r="L99" s="25">
        <v>10</v>
      </c>
    </row>
    <row r="100" spans="1:13" x14ac:dyDescent="0.25">
      <c r="B100" t="s">
        <v>71</v>
      </c>
      <c r="C100" s="58">
        <f>M77</f>
        <v>12.4</v>
      </c>
      <c r="D100" s="59">
        <f>M79</f>
        <v>12.270230465360264</v>
      </c>
      <c r="E100" s="59">
        <f>M81</f>
        <v>12.149958122675198</v>
      </c>
      <c r="F100" s="59">
        <f>M83</f>
        <v>12.046293671711094</v>
      </c>
      <c r="G100" s="59">
        <f>M85</f>
        <v>12</v>
      </c>
      <c r="H100" s="59">
        <f>M87</f>
        <v>11.973407551482978</v>
      </c>
      <c r="I100" s="59">
        <f>M89</f>
        <v>11.902595747100836</v>
      </c>
      <c r="J100" s="59">
        <f>M91</f>
        <v>11.824940138750025</v>
      </c>
      <c r="K100" s="59">
        <f>M93</f>
        <v>11.771804732965526</v>
      </c>
      <c r="L100" s="60">
        <f>M95</f>
        <v>11.723789148801862</v>
      </c>
    </row>
    <row r="101" spans="1:13" ht="15.75" thickBot="1" x14ac:dyDescent="0.3">
      <c r="B101" t="s">
        <v>72</v>
      </c>
      <c r="C101" s="52">
        <f>M78</f>
        <v>3.4899998408108646</v>
      </c>
      <c r="D101" s="53">
        <f t="shared" ref="D101" si="273">M80</f>
        <v>3.7595390692794735</v>
      </c>
      <c r="E101" s="53">
        <f>M82</f>
        <v>4.0000837546496033</v>
      </c>
      <c r="F101" s="53">
        <f>M84</f>
        <v>4.3148253131556213</v>
      </c>
      <c r="G101" s="53">
        <f>M86</f>
        <v>4.9210430120936675</v>
      </c>
      <c r="H101" s="53">
        <f>M88</f>
        <v>5.6659244851702262</v>
      </c>
      <c r="I101" s="53">
        <f>M90</f>
        <v>6.3740425289916383</v>
      </c>
      <c r="J101" s="53">
        <f>M92</f>
        <v>8.5392060456242955</v>
      </c>
      <c r="K101" s="53">
        <f>M94</f>
        <v>10.476494115999635</v>
      </c>
      <c r="L101" s="54">
        <f>M96</f>
        <v>12.565172027118985</v>
      </c>
    </row>
    <row r="102" spans="1:13" x14ac:dyDescent="0.25">
      <c r="B102" t="s">
        <v>161</v>
      </c>
      <c r="C102">
        <f>100-C100-C101</f>
        <v>84.110000159189127</v>
      </c>
      <c r="D102">
        <f t="shared" ref="D102:L102" si="274">100-D100-D101</f>
        <v>83.97023046536026</v>
      </c>
      <c r="E102">
        <f t="shared" si="274"/>
        <v>83.84995812267519</v>
      </c>
      <c r="F102">
        <f t="shared" si="274"/>
        <v>83.638881015133279</v>
      </c>
      <c r="G102">
        <f t="shared" si="274"/>
        <v>83.078956987906338</v>
      </c>
      <c r="H102">
        <f t="shared" si="274"/>
        <v>82.360667963346799</v>
      </c>
      <c r="I102">
        <f t="shared" si="274"/>
        <v>81.72336172390753</v>
      </c>
      <c r="J102">
        <f t="shared" si="274"/>
        <v>79.63585381562568</v>
      </c>
      <c r="K102">
        <f t="shared" si="274"/>
        <v>77.751701151034837</v>
      </c>
      <c r="L102">
        <f t="shared" si="274"/>
        <v>75.711038824079154</v>
      </c>
    </row>
    <row r="105" spans="1:13" ht="18.75" x14ac:dyDescent="0.3">
      <c r="B105" s="56">
        <v>2019</v>
      </c>
    </row>
    <row r="106" spans="1:13" x14ac:dyDescent="0.25">
      <c r="C106" s="25">
        <v>1</v>
      </c>
      <c r="D106" s="25">
        <v>2</v>
      </c>
      <c r="E106" s="25">
        <v>3</v>
      </c>
      <c r="F106" s="25">
        <v>4</v>
      </c>
      <c r="G106" s="25">
        <v>5</v>
      </c>
      <c r="H106" s="25">
        <v>6</v>
      </c>
      <c r="I106" s="25">
        <v>7</v>
      </c>
      <c r="J106" s="25">
        <v>8</v>
      </c>
      <c r="K106" s="25">
        <v>9</v>
      </c>
      <c r="L106" s="25">
        <v>10</v>
      </c>
    </row>
    <row r="107" spans="1:13" x14ac:dyDescent="0.25">
      <c r="B107" t="s">
        <v>79</v>
      </c>
      <c r="C107" s="8">
        <f>INDEX(decdoh2019,'матрица расходов'!C106)/расслоение!$M$150</f>
        <v>0.80581789894867539</v>
      </c>
      <c r="D107" s="8">
        <f>INDEX(decdoh2019,'матрица расходов'!D106)/расслоение!$M$150</f>
        <v>1.1421797948957091</v>
      </c>
      <c r="E107" s="8">
        <f>INDEX(decdoh2019,'матрица расходов'!E106)/расслоение!$M$150</f>
        <v>1.5178744809353781</v>
      </c>
      <c r="F107" s="8">
        <f>INDEX(decdoh2019,'матрица расходов'!F106)/расслоение!$M$150</f>
        <v>1.9477483323951734</v>
      </c>
      <c r="G107" s="8">
        <f>INDEX(decdoh2019,'матрица расходов'!G106)/расслоение!$M$150</f>
        <v>2.4522515696348246</v>
      </c>
      <c r="H107" s="8">
        <f>INDEX(decdoh2019,'матрица расходов'!H106)/расслоение!$M$150</f>
        <v>3.0595534598011174</v>
      </c>
      <c r="I107" s="8">
        <f>INDEX(decdoh2019,'матрица расходов'!I106)/расслоение!$M$150</f>
        <v>3.8084559129775961</v>
      </c>
      <c r="J107" s="8">
        <f>INDEX(decdoh2019,'матрица расходов'!J106)/расслоение!$M$150</f>
        <v>4.7524068310314309</v>
      </c>
      <c r="K107" s="8">
        <f>INDEX(decdoh2019,'матрица расходов'!K106)/расслоение!$M$150</f>
        <v>5.9650283167882847</v>
      </c>
      <c r="L107" s="8">
        <f>INDEX(decdoh2019,'матрица расходов'!L106)/расслоение!$M$150</f>
        <v>7.5477315357966672</v>
      </c>
    </row>
    <row r="108" spans="1:13" ht="15.75" thickBot="1" x14ac:dyDescent="0.3"/>
    <row r="109" spans="1:13" x14ac:dyDescent="0.25">
      <c r="A109" s="57" t="s">
        <v>80</v>
      </c>
      <c r="B109" t="s">
        <v>71</v>
      </c>
      <c r="C109">
        <f>IF($A110&lt;=C$4,C$5,0)</f>
        <v>0</v>
      </c>
      <c r="D109">
        <f>IF($A110&gt;C$4,IF($A110&lt;=D$4,C$5+(D$5-C$5)*($A110-C$4)/(D$4-C$4),0),0)</f>
        <v>12.4</v>
      </c>
      <c r="E109">
        <f>IF($A110&gt;D$4,IF($A110&lt;=E$4,D$5+(E$5-D$5)*($A110-D$4)/(E$4-D$4),0),0)</f>
        <v>0</v>
      </c>
      <c r="F109">
        <f t="shared" ref="F109" si="275">IF($A110&gt;E$4,IF($A110&lt;=F$4,E$5+(F$5-E$5)*($A110-E$4)/(F$4-E$4),0),0)</f>
        <v>0</v>
      </c>
      <c r="G109">
        <f t="shared" ref="G109" si="276">IF($A110&gt;F$4,IF($A110&lt;=G$4,F$5+(G$5-F$5)*($A110-F$4)/(G$4-F$4),0),0)</f>
        <v>0</v>
      </c>
      <c r="H109">
        <f t="shared" ref="H109" si="277">IF($A110&gt;G$4,IF($A110&lt;=H$4,G$5+(H$5-G$5)*($A110-G$4)/(H$4-G$4),0),0)</f>
        <v>0</v>
      </c>
      <c r="I109">
        <f t="shared" ref="I109" si="278">IF($A110&gt;H$4,IF($A110&lt;=I$4,H$5+(I$5-H$5)*($A110-H$4)/(I$4-H$4),0),0)</f>
        <v>0</v>
      </c>
      <c r="J109">
        <f t="shared" ref="J109" si="279">IF($A110&gt;I$4,IF($A110&lt;=J$4,I$5+(J$5-I$5)*($A110-I$4)/(J$4-I$4),0),0)</f>
        <v>0</v>
      </c>
      <c r="K109">
        <f t="shared" ref="K109" si="280">IF($A110&gt;J$4,IF($A110&lt;=K$4,J$5+(K$5-J$5)*($A110-J$4)/(K$4-J$4),0),0)</f>
        <v>0</v>
      </c>
      <c r="L109">
        <f>IF($A110&gt;K$4,IF($A110&lt;=L$4,K$5+(L$5-K$5)*($A110-K$4)/(L$4-K$4),L$5),0)</f>
        <v>0</v>
      </c>
      <c r="M109" s="32">
        <f t="shared" ref="M109:M128" si="281">SUM(C109:L109)</f>
        <v>12.4</v>
      </c>
    </row>
    <row r="110" spans="1:13" ht="15.75" thickBot="1" x14ac:dyDescent="0.3">
      <c r="A110">
        <f>C107</f>
        <v>0.80581789894867539</v>
      </c>
      <c r="B110" t="s">
        <v>72</v>
      </c>
      <c r="C110">
        <f>IF($A110&lt;=C$4,C$6,0)</f>
        <v>0</v>
      </c>
      <c r="D110">
        <f>IF($A110&gt;C$4,IF($A110&lt;=D$4,C$6+(D$6-C$6)*($A110-C$4)/(D$4-C$4),0),0)</f>
        <v>3.4594639361781105</v>
      </c>
      <c r="E110">
        <f t="shared" ref="E110" si="282">IF($A110&gt;D$4,IF($A110&lt;=E$4,D$6+(E$6-D$6)*($A110-D$4)/(E$4-D$4),0),0)</f>
        <v>0</v>
      </c>
      <c r="F110">
        <f t="shared" ref="F110" si="283">IF($A110&gt;E$4,IF($A110&lt;=F$4,E$6+(F$6-E$6)*($A110-E$4)/(F$4-E$4),0),0)</f>
        <v>0</v>
      </c>
      <c r="G110">
        <f t="shared" ref="G110" si="284">IF($A110&gt;F$4,IF($A110&lt;=G$4,F$6+(G$6-F$6)*($A110-F$4)/(G$4-F$4),0),0)</f>
        <v>0</v>
      </c>
      <c r="H110">
        <f t="shared" ref="H110" si="285">IF($A110&gt;G$4,IF($A110&lt;=H$4,G$6+(H$6-G$6)*($A110-G$4)/(H$4-G$4),0),0)</f>
        <v>0</v>
      </c>
      <c r="I110">
        <f t="shared" ref="I110" si="286">IF($A110&gt;H$4,IF($A110&lt;=I$4,H$6+(I$6-H$6)*($A110-H$4)/(I$4-H$4),0),0)</f>
        <v>0</v>
      </c>
      <c r="J110">
        <f t="shared" ref="J110" si="287">IF($A110&gt;I$4,IF($A110&lt;=J$4,I$6+(J$6-I$6)*($A110-I$4)/(J$4-I$4),0),0)</f>
        <v>0</v>
      </c>
      <c r="K110">
        <f t="shared" ref="K110" si="288">IF($A110&gt;J$4,IF($A110&lt;=K$4,J$6+(K$6-J$6)*($A110-J$4)/(K$4-J$4),0),0)</f>
        <v>0</v>
      </c>
      <c r="L110">
        <f>IF($A110&gt;K$4,IF($A110&lt;=L$4,K$6+(L$6-K$6)*($A110-K$4)/(L$4-K$4),L$6),0)</f>
        <v>0</v>
      </c>
      <c r="M110" s="34">
        <f t="shared" si="281"/>
        <v>3.4594639361781105</v>
      </c>
    </row>
    <row r="111" spans="1:13" x14ac:dyDescent="0.25">
      <c r="A111" s="57" t="s">
        <v>81</v>
      </c>
      <c r="B111" t="s">
        <v>71</v>
      </c>
      <c r="C111">
        <f>IF($A112&lt;=C$4,C$5,0)</f>
        <v>0</v>
      </c>
      <c r="D111">
        <f>IF($A112&gt;C$4,IF($A112&lt;=D$4,C$5+(D$5-C$5)*($A112-C$4)/(D$4-C$4),0),0)</f>
        <v>0</v>
      </c>
      <c r="E111">
        <f>IF($A112&gt;D$4,IF($A112&lt;=E$4,D$5+(E$5-D$5)*($A112-D$4)/(E$4-D$4),0),0)</f>
        <v>0</v>
      </c>
      <c r="F111">
        <f t="shared" ref="F111" si="289">IF($A112&gt;E$4,IF($A112&lt;=F$4,E$5+(F$5-E$5)*($A112-E$4)/(F$4-E$4),0),0)</f>
        <v>12.288507216108675</v>
      </c>
      <c r="G111">
        <f t="shared" ref="G111" si="290">IF($A112&gt;F$4,IF($A112&lt;=G$4,F$5+(G$5-F$5)*($A112-F$4)/(G$4-F$4),0),0)</f>
        <v>0</v>
      </c>
      <c r="H111">
        <f t="shared" ref="H111" si="291">IF($A112&gt;G$4,IF($A112&lt;=H$4,G$5+(H$5-G$5)*($A112-G$4)/(H$4-G$4),0),0)</f>
        <v>0</v>
      </c>
      <c r="I111">
        <f t="shared" ref="I111" si="292">IF($A112&gt;H$4,IF($A112&lt;=I$4,H$5+(I$5-H$5)*($A112-H$4)/(I$4-H$4),0),0)</f>
        <v>0</v>
      </c>
      <c r="J111">
        <f t="shared" ref="J111" si="293">IF($A112&gt;I$4,IF($A112&lt;=J$4,I$5+(J$5-I$5)*($A112-I$4)/(J$4-I$4),0),0)</f>
        <v>0</v>
      </c>
      <c r="K111">
        <f t="shared" ref="K111" si="294">IF($A112&gt;J$4,IF($A112&lt;=K$4,J$5+(K$5-J$5)*($A112-J$4)/(K$4-J$4),0),0)</f>
        <v>0</v>
      </c>
      <c r="L111">
        <f>IF($A112&gt;K$4,IF($A112&lt;=L$4,K$5+(L$5-K$5)*($A112-K$4)/(L$4-K$4),L$5),0)</f>
        <v>0</v>
      </c>
      <c r="M111" s="32">
        <f t="shared" si="281"/>
        <v>12.288507216108675</v>
      </c>
    </row>
    <row r="112" spans="1:13" ht="15.75" thickBot="1" x14ac:dyDescent="0.3">
      <c r="A112">
        <f>D107</f>
        <v>1.1421797948957091</v>
      </c>
      <c r="B112" t="s">
        <v>72</v>
      </c>
      <c r="C112">
        <f>IF($A112&lt;=C$4,C$6,0)</f>
        <v>0</v>
      </c>
      <c r="D112">
        <f>IF($A112&gt;C$4,IF($A112&lt;=D$4,C$6+(D$6-C$6)*($A112-C$4)/(D$4-C$4),0),0)</f>
        <v>0</v>
      </c>
      <c r="E112">
        <f t="shared" ref="E112" si="295">IF($A112&gt;D$4,IF($A112&lt;=E$4,D$6+(E$6-D$6)*($A112-D$4)/(E$4-D$4),0),0)</f>
        <v>0</v>
      </c>
      <c r="F112">
        <f t="shared" ref="F112" si="296">IF($A112&gt;E$4,IF($A112&lt;=F$4,E$6+(F$6-E$6)*($A112-E$4)/(F$4-E$4),0),0)</f>
        <v>3.7229855677826493</v>
      </c>
      <c r="G112">
        <f t="shared" ref="G112" si="297">IF($A112&gt;F$4,IF($A112&lt;=G$4,F$6+(G$6-F$6)*($A112-F$4)/(G$4-F$4),0),0)</f>
        <v>0</v>
      </c>
      <c r="H112">
        <f t="shared" ref="H112" si="298">IF($A112&gt;G$4,IF($A112&lt;=H$4,G$6+(H$6-G$6)*($A112-G$4)/(H$4-G$4),0),0)</f>
        <v>0</v>
      </c>
      <c r="I112">
        <f t="shared" ref="I112" si="299">IF($A112&gt;H$4,IF($A112&lt;=I$4,H$6+(I$6-H$6)*($A112-H$4)/(I$4-H$4),0),0)</f>
        <v>0</v>
      </c>
      <c r="J112">
        <f t="shared" ref="J112" si="300">IF($A112&gt;I$4,IF($A112&lt;=J$4,I$6+(J$6-I$6)*($A112-I$4)/(J$4-I$4),0),0)</f>
        <v>0</v>
      </c>
      <c r="K112">
        <f t="shared" ref="K112" si="301">IF($A112&gt;J$4,IF($A112&lt;=K$4,J$6+(K$6-J$6)*($A112-J$4)/(K$4-J$4),0),0)</f>
        <v>0</v>
      </c>
      <c r="L112">
        <f>IF($A112&gt;K$4,IF($A112&lt;=L$4,K$6+(L$6-K$6)*($A112-K$4)/(L$4-K$4),L$6),0)</f>
        <v>0</v>
      </c>
      <c r="M112" s="34">
        <f t="shared" si="281"/>
        <v>3.7229855677826493</v>
      </c>
    </row>
    <row r="113" spans="1:13" x14ac:dyDescent="0.25">
      <c r="A113" s="57" t="s">
        <v>82</v>
      </c>
      <c r="B113" t="s">
        <v>71</v>
      </c>
      <c r="C113">
        <f>IF($A114&lt;=C$4,C$5,0)</f>
        <v>0</v>
      </c>
      <c r="D113">
        <f>IF($A114&gt;C$4,IF($A114&lt;=D$4,C$5+(D$5-C$5)*($A114-C$4)/(D$4-C$4),0),0)</f>
        <v>0</v>
      </c>
      <c r="E113">
        <f>IF($A114&gt;D$4,IF($A114&lt;=E$4,D$5+(E$5-D$5)*($A114-D$4)/(E$4-D$4),0),0)</f>
        <v>0</v>
      </c>
      <c r="F113">
        <f t="shared" ref="F113" si="302">IF($A114&gt;E$4,IF($A114&lt;=F$4,E$5+(F$5-E$5)*($A114-E$4)/(F$4-E$4),0),0)</f>
        <v>0</v>
      </c>
      <c r="G113">
        <f t="shared" ref="G113" si="303">IF($A114&gt;F$4,IF($A114&lt;=G$4,F$5+(G$5-F$5)*($A114-F$4)/(G$4-F$4),0),0)</f>
        <v>12.164479310851283</v>
      </c>
      <c r="H113">
        <f t="shared" ref="H113" si="304">IF($A114&gt;G$4,IF($A114&lt;=H$4,G$5+(H$5-G$5)*($A114-G$4)/(H$4-G$4),0),0)</f>
        <v>0</v>
      </c>
      <c r="I113">
        <f t="shared" ref="I113" si="305">IF($A114&gt;H$4,IF($A114&lt;=I$4,H$5+(I$5-H$5)*($A114-H$4)/(I$4-H$4),0),0)</f>
        <v>0</v>
      </c>
      <c r="J113">
        <f t="shared" ref="J113" si="306">IF($A114&gt;I$4,IF($A114&lt;=J$4,I$5+(J$5-I$5)*($A114-I$4)/(J$4-I$4),0),0)</f>
        <v>0</v>
      </c>
      <c r="K113">
        <f t="shared" ref="K113" si="307">IF($A114&gt;J$4,IF($A114&lt;=K$4,J$5+(K$5-J$5)*($A114-J$4)/(K$4-J$4),0),0)</f>
        <v>0</v>
      </c>
      <c r="L113">
        <f>IF($A114&gt;K$4,IF($A114&lt;=L$4,K$5+(L$5-K$5)*($A114-K$4)/(L$4-K$4),L$5),0)</f>
        <v>0</v>
      </c>
      <c r="M113" s="32">
        <f t="shared" si="281"/>
        <v>12.164479310851283</v>
      </c>
    </row>
    <row r="114" spans="1:13" ht="15.75" thickBot="1" x14ac:dyDescent="0.3">
      <c r="A114">
        <f>E107</f>
        <v>1.5178744809353781</v>
      </c>
      <c r="B114" t="s">
        <v>72</v>
      </c>
      <c r="C114">
        <f>IF($A114&lt;=C$4,C$6,0)</f>
        <v>0</v>
      </c>
      <c r="D114">
        <f>IF($A114&gt;C$4,IF($A114&lt;=D$4,C$6+(D$6-C$6)*($A114-C$4)/(D$4-C$4),0),0)</f>
        <v>0</v>
      </c>
      <c r="E114">
        <f t="shared" ref="E114" si="308">IF($A114&gt;D$4,IF($A114&lt;=E$4,D$6+(E$6-D$6)*($A114-D$4)/(E$4-D$4),0),0)</f>
        <v>0</v>
      </c>
      <c r="F114">
        <f t="shared" ref="F114" si="309">IF($A114&gt;E$4,IF($A114&lt;=F$4,E$6+(F$6-E$6)*($A114-E$4)/(F$4-E$4),0),0)</f>
        <v>0</v>
      </c>
      <c r="G114">
        <f t="shared" ref="G114" si="310">IF($A114&gt;F$4,IF($A114&lt;=G$4,F$6+(G$6-F$6)*($A114-F$4)/(G$4-F$4),0),0)</f>
        <v>3.9710413782974321</v>
      </c>
      <c r="H114">
        <f t="shared" ref="H114" si="311">IF($A114&gt;G$4,IF($A114&lt;=H$4,G$6+(H$6-G$6)*($A114-G$4)/(H$4-G$4),0),0)</f>
        <v>0</v>
      </c>
      <c r="I114">
        <f t="shared" ref="I114" si="312">IF($A114&gt;H$4,IF($A114&lt;=I$4,H$6+(I$6-H$6)*($A114-H$4)/(I$4-H$4),0),0)</f>
        <v>0</v>
      </c>
      <c r="J114">
        <f t="shared" ref="J114" si="313">IF($A114&gt;I$4,IF($A114&lt;=J$4,I$6+(J$6-I$6)*($A114-I$4)/(J$4-I$4),0),0)</f>
        <v>0</v>
      </c>
      <c r="K114">
        <f t="shared" ref="K114" si="314">IF($A114&gt;J$4,IF($A114&lt;=K$4,J$6+(K$6-J$6)*($A114-J$4)/(K$4-J$4),0),0)</f>
        <v>0</v>
      </c>
      <c r="L114">
        <f>IF($A114&gt;K$4,IF($A114&lt;=L$4,K$6+(L$6-K$6)*($A114-K$4)/(L$4-K$4),L$6),0)</f>
        <v>0</v>
      </c>
      <c r="M114" s="34">
        <f t="shared" si="281"/>
        <v>3.9710413782974321</v>
      </c>
    </row>
    <row r="115" spans="1:13" x14ac:dyDescent="0.25">
      <c r="A115" s="57" t="s">
        <v>83</v>
      </c>
      <c r="B115" t="s">
        <v>71</v>
      </c>
      <c r="C115">
        <f>IF($A116&lt;=C$4,C$5,0)</f>
        <v>0</v>
      </c>
      <c r="D115">
        <f>IF($A116&gt;C$4,IF($A116&lt;=D$4,C$5+(D$5-C$5)*($A116-C$4)/(D$4-C$4),0),0)</f>
        <v>0</v>
      </c>
      <c r="E115">
        <f>IF($A116&gt;D$4,IF($A116&lt;=E$4,D$5+(E$5-D$5)*($A116-D$4)/(E$4-D$4),0),0)</f>
        <v>0</v>
      </c>
      <c r="F115">
        <f t="shared" ref="F115" si="315">IF($A116&gt;E$4,IF($A116&lt;=F$4,E$5+(F$5-E$5)*($A116-E$4)/(F$4-E$4),0),0)</f>
        <v>0</v>
      </c>
      <c r="G115">
        <f t="shared" ref="G115" si="316">IF($A116&gt;F$4,IF($A116&lt;=G$4,F$5+(G$5-F$5)*($A116-F$4)/(G$4-F$4),0),0)</f>
        <v>0</v>
      </c>
      <c r="H115">
        <f t="shared" ref="H115" si="317">IF($A116&gt;G$4,IF($A116&lt;=H$4,G$5+(H$5-G$5)*($A116-G$4)/(H$4-G$4),0),0)</f>
        <v>12.057011232088005</v>
      </c>
      <c r="I115">
        <f t="shared" ref="I115" si="318">IF($A116&gt;H$4,IF($A116&lt;=I$4,H$5+(I$5-H$5)*($A116-H$4)/(I$4-H$4),0),0)</f>
        <v>0</v>
      </c>
      <c r="J115">
        <f t="shared" ref="J115" si="319">IF($A116&gt;I$4,IF($A116&lt;=J$4,I$5+(J$5-I$5)*($A116-I$4)/(J$4-I$4),0),0)</f>
        <v>0</v>
      </c>
      <c r="K115">
        <f t="shared" ref="K115" si="320">IF($A116&gt;J$4,IF($A116&lt;=K$4,J$5+(K$5-J$5)*($A116-J$4)/(K$4-J$4),0),0)</f>
        <v>0</v>
      </c>
      <c r="L115">
        <f>IF($A116&gt;K$4,IF($A116&lt;=L$4,K$5+(L$5-K$5)*($A116-K$4)/(L$4-K$4),L$5),0)</f>
        <v>0</v>
      </c>
      <c r="M115" s="32">
        <f t="shared" si="281"/>
        <v>12.057011232088005</v>
      </c>
    </row>
    <row r="116" spans="1:13" ht="15.75" thickBot="1" x14ac:dyDescent="0.3">
      <c r="A116">
        <f>F107</f>
        <v>1.9477483323951734</v>
      </c>
      <c r="B116" t="s">
        <v>72</v>
      </c>
      <c r="C116">
        <f>IF($A116&lt;=C$4,C$6,0)</f>
        <v>0</v>
      </c>
      <c r="D116">
        <f>IF($A116&gt;C$4,IF($A116&lt;=D$4,C$6+(D$6-C$6)*($A116-C$4)/(D$4-C$4),0),0)</f>
        <v>0</v>
      </c>
      <c r="E116">
        <f t="shared" ref="E116" si="321">IF($A116&gt;D$4,IF($A116&lt;=E$4,D$6+(E$6-D$6)*($A116-D$4)/(E$4-D$4),0),0)</f>
        <v>0</v>
      </c>
      <c r="F116">
        <f t="shared" ref="F116" si="322">IF($A116&gt;E$4,IF($A116&lt;=F$4,E$6+(F$6-E$6)*($A116-E$4)/(F$4-E$4),0),0)</f>
        <v>0</v>
      </c>
      <c r="G116">
        <f t="shared" ref="G116" si="323">IF($A116&gt;F$4,IF($A116&lt;=G$4,F$6+(G$6-F$6)*($A116-F$4)/(G$4-F$4),0),0)</f>
        <v>0</v>
      </c>
      <c r="H116">
        <f t="shared" ref="H116" si="324">IF($A116&gt;G$4,IF($A116&lt;=H$4,G$6+(H$6-G$6)*($A116-G$4)/(H$4-G$4),0),0)</f>
        <v>4.2719550716479766</v>
      </c>
      <c r="I116">
        <f t="shared" ref="I116" si="325">IF($A116&gt;H$4,IF($A116&lt;=I$4,H$6+(I$6-H$6)*($A116-H$4)/(I$4-H$4),0),0)</f>
        <v>0</v>
      </c>
      <c r="J116">
        <f t="shared" ref="J116" si="326">IF($A116&gt;I$4,IF($A116&lt;=J$4,I$6+(J$6-I$6)*($A116-I$4)/(J$4-I$4),0),0)</f>
        <v>0</v>
      </c>
      <c r="K116">
        <f t="shared" ref="K116" si="327">IF($A116&gt;J$4,IF($A116&lt;=K$4,J$6+(K$6-J$6)*($A116-J$4)/(K$4-J$4),0),0)</f>
        <v>0</v>
      </c>
      <c r="L116">
        <f>IF($A116&gt;K$4,IF($A116&lt;=L$4,K$6+(L$6-K$6)*($A116-K$4)/(L$4-K$4),L$6),0)</f>
        <v>0</v>
      </c>
      <c r="M116" s="34">
        <f t="shared" si="281"/>
        <v>4.2719550716479766</v>
      </c>
    </row>
    <row r="117" spans="1:13" x14ac:dyDescent="0.25">
      <c r="A117" s="57" t="s">
        <v>84</v>
      </c>
      <c r="B117" t="s">
        <v>71</v>
      </c>
      <c r="C117">
        <f>IF($A118&lt;=C$4,C$5,0)</f>
        <v>0</v>
      </c>
      <c r="D117">
        <f>IF($A118&gt;C$4,IF($A118&lt;=D$4,C$5+(D$5-C$5)*($A118-C$4)/(D$4-C$4),0),0)</f>
        <v>0</v>
      </c>
      <c r="E117">
        <f>IF($A118&gt;D$4,IF($A118&lt;=E$4,D$5+(E$5-D$5)*($A118-D$4)/(E$4-D$4),0),0)</f>
        <v>0</v>
      </c>
      <c r="F117">
        <f t="shared" ref="F117" si="328">IF($A118&gt;E$4,IF($A118&lt;=F$4,E$5+(F$5-E$5)*($A118-E$4)/(F$4-E$4),0),0)</f>
        <v>0</v>
      </c>
      <c r="G117">
        <f t="shared" ref="G117" si="329">IF($A118&gt;F$4,IF($A118&lt;=G$4,F$5+(G$5-F$5)*($A118-F$4)/(G$4-F$4),0),0)</f>
        <v>0</v>
      </c>
      <c r="H117">
        <f t="shared" ref="H117" si="330">IF($A118&gt;G$4,IF($A118&lt;=H$4,G$5+(H$5-G$5)*($A118-G$4)/(H$4-G$4),0),0)</f>
        <v>0</v>
      </c>
      <c r="I117">
        <f t="shared" ref="I117" si="331">IF($A118&gt;H$4,IF($A118&lt;=I$4,H$5+(I$5-H$5)*($A118-H$4)/(I$4-H$4),0),0)</f>
        <v>12</v>
      </c>
      <c r="J117">
        <f t="shared" ref="J117" si="332">IF($A118&gt;I$4,IF($A118&lt;=J$4,I$5+(J$5-I$5)*($A118-I$4)/(J$4-I$4),0),0)</f>
        <v>0</v>
      </c>
      <c r="K117">
        <f t="shared" ref="K117" si="333">IF($A118&gt;J$4,IF($A118&lt;=K$4,J$5+(K$5-J$5)*($A118-J$4)/(K$4-J$4),0),0)</f>
        <v>0</v>
      </c>
      <c r="L117">
        <f>IF($A118&gt;K$4,IF($A118&lt;=L$4,K$5+(L$5-K$5)*($A118-K$4)/(L$4-K$4),L$5),0)</f>
        <v>0</v>
      </c>
      <c r="M117" s="32">
        <f t="shared" si="281"/>
        <v>12</v>
      </c>
    </row>
    <row r="118" spans="1:13" ht="15.75" thickBot="1" x14ac:dyDescent="0.3">
      <c r="A118">
        <f>G107</f>
        <v>2.4522515696348246</v>
      </c>
      <c r="B118" t="s">
        <v>72</v>
      </c>
      <c r="C118">
        <f>IF($A118&lt;=C$4,C$6,0)</f>
        <v>0</v>
      </c>
      <c r="D118">
        <f>IF($A118&gt;C$4,IF($A118&lt;=D$4,C$6+(D$6-C$6)*($A118-C$4)/(D$4-C$4),0),0)</f>
        <v>0</v>
      </c>
      <c r="E118">
        <f t="shared" ref="E118" si="334">IF($A118&gt;D$4,IF($A118&lt;=E$4,D$6+(E$6-D$6)*($A118-D$4)/(E$4-D$4),0),0)</f>
        <v>0</v>
      </c>
      <c r="F118">
        <f t="shared" ref="F118" si="335">IF($A118&gt;E$4,IF($A118&lt;=F$4,E$6+(F$6-E$6)*($A118-E$4)/(F$4-E$4),0),0)</f>
        <v>0</v>
      </c>
      <c r="G118">
        <f t="shared" ref="G118" si="336">IF($A118&gt;F$4,IF($A118&lt;=G$4,F$6+(G$6-F$6)*($A118-F$4)/(G$4-F$4),0),0)</f>
        <v>0</v>
      </c>
      <c r="H118">
        <f t="shared" ref="H118" si="337">IF($A118&gt;G$4,IF($A118&lt;=H$4,G$6+(H$6-G$6)*($A118-G$4)/(H$4-G$4),0),0)</f>
        <v>0</v>
      </c>
      <c r="I118">
        <f t="shared" ref="I118" si="338">IF($A118&gt;H$4,IF($A118&lt;=I$4,H$6+(I$6-H$6)*($A118-H$4)/(I$4-H$4),0),0)</f>
        <v>4.8633773544522372</v>
      </c>
      <c r="J118">
        <f t="shared" ref="J118" si="339">IF($A118&gt;I$4,IF($A118&lt;=J$4,I$6+(J$6-I$6)*($A118-I$4)/(J$4-I$4),0),0)</f>
        <v>0</v>
      </c>
      <c r="K118">
        <f t="shared" ref="K118" si="340">IF($A118&gt;J$4,IF($A118&lt;=K$4,J$6+(K$6-J$6)*($A118-J$4)/(K$4-J$4),0),0)</f>
        <v>0</v>
      </c>
      <c r="L118">
        <f>IF($A118&gt;K$4,IF($A118&lt;=L$4,K$6+(L$6-K$6)*($A118-K$4)/(L$4-K$4),L$6),0)</f>
        <v>0</v>
      </c>
      <c r="M118" s="34">
        <f t="shared" si="281"/>
        <v>4.8633773544522372</v>
      </c>
    </row>
    <row r="119" spans="1:13" x14ac:dyDescent="0.25">
      <c r="A119" s="57" t="s">
        <v>85</v>
      </c>
      <c r="B119" t="s">
        <v>71</v>
      </c>
      <c r="C119">
        <f>IF($A120&lt;=C$4,C$5,0)</f>
        <v>0</v>
      </c>
      <c r="D119">
        <f>IF($A120&gt;C$4,IF($A120&lt;=D$4,C$5+(D$5-C$5)*($A120-C$4)/(D$4-C$4),0),0)</f>
        <v>0</v>
      </c>
      <c r="E119">
        <f>IF($A120&gt;D$4,IF($A120&lt;=E$4,D$5+(E$5-D$5)*($A120-D$4)/(E$4-D$4),0),0)</f>
        <v>0</v>
      </c>
      <c r="F119">
        <f t="shared" ref="F119" si="341">IF($A120&gt;E$4,IF($A120&lt;=F$4,E$5+(F$5-E$5)*($A120-E$4)/(F$4-E$4),0),0)</f>
        <v>0</v>
      </c>
      <c r="G119">
        <f t="shared" ref="G119" si="342">IF($A120&gt;F$4,IF($A120&lt;=G$4,F$5+(G$5-F$5)*($A120-F$4)/(G$4-F$4),0),0)</f>
        <v>0</v>
      </c>
      <c r="H119">
        <f t="shared" ref="H119" si="343">IF($A120&gt;G$4,IF($A120&lt;=H$4,G$5+(H$5-G$5)*($A120-G$4)/(H$4-G$4),0),0)</f>
        <v>0</v>
      </c>
      <c r="I119">
        <f t="shared" ref="I119" si="344">IF($A120&gt;H$4,IF($A120&lt;=I$4,H$5+(I$5-H$5)*($A120-H$4)/(I$4-H$4),0),0)</f>
        <v>0</v>
      </c>
      <c r="J119">
        <f t="shared" ref="J119" si="345">IF($A120&gt;I$4,IF($A120&lt;=J$4,I$5+(J$5-I$5)*($A120-I$4)/(J$4-I$4),0),0)</f>
        <v>11.97479257981807</v>
      </c>
      <c r="K119">
        <f t="shared" ref="K119" si="346">IF($A120&gt;J$4,IF($A120&lt;=K$4,J$5+(K$5-J$5)*($A120-J$4)/(K$4-J$4),0),0)</f>
        <v>0</v>
      </c>
      <c r="L119">
        <f>IF($A120&gt;K$4,IF($A120&lt;=L$4,K$5+(L$5-K$5)*($A120-K$4)/(L$4-K$4),L$5),0)</f>
        <v>0</v>
      </c>
      <c r="M119" s="32">
        <f t="shared" si="281"/>
        <v>11.97479257981807</v>
      </c>
    </row>
    <row r="120" spans="1:13" ht="15.75" thickBot="1" x14ac:dyDescent="0.3">
      <c r="A120">
        <f>H107</f>
        <v>3.0595534598011174</v>
      </c>
      <c r="B120" t="s">
        <v>72</v>
      </c>
      <c r="C120">
        <f>IF($A120&lt;=C$4,C$6,0)</f>
        <v>0</v>
      </c>
      <c r="D120">
        <f>IF($A120&gt;C$4,IF($A120&lt;=D$4,C$6+(D$6-C$6)*($A120-C$4)/(D$4-C$4),0),0)</f>
        <v>0</v>
      </c>
      <c r="E120">
        <f t="shared" ref="E120" si="347">IF($A120&gt;D$4,IF($A120&lt;=E$4,D$6+(E$6-D$6)*($A120-D$4)/(E$4-D$4),0),0)</f>
        <v>0</v>
      </c>
      <c r="F120">
        <f t="shared" ref="F120" si="348">IF($A120&gt;E$4,IF($A120&lt;=F$4,E$6+(F$6-E$6)*($A120-E$4)/(F$4-E$4),0),0)</f>
        <v>0</v>
      </c>
      <c r="G120">
        <f t="shared" ref="G120" si="349">IF($A120&gt;F$4,IF($A120&lt;=G$4,F$6+(G$6-F$6)*($A120-F$4)/(G$4-F$4),0),0)</f>
        <v>0</v>
      </c>
      <c r="H120">
        <f t="shared" ref="H120" si="350">IF($A120&gt;G$4,IF($A120&lt;=H$4,G$6+(H$6-G$6)*($A120-G$4)/(H$4-G$4),0),0)</f>
        <v>0</v>
      </c>
      <c r="I120">
        <f t="shared" ref="I120" si="351">IF($A120&gt;H$4,IF($A120&lt;=I$4,H$6+(I$6-H$6)*($A120-H$4)/(I$4-H$4),0),0)</f>
        <v>0</v>
      </c>
      <c r="J120">
        <f t="shared" ref="J120" si="352">IF($A120&gt;I$4,IF($A120&lt;=J$4,I$6+(J$6-I$6)*($A120-I$4)/(J$4-I$4),0),0)</f>
        <v>5.6520742018193104</v>
      </c>
      <c r="K120">
        <f t="shared" ref="K120" si="353">IF($A120&gt;J$4,IF($A120&lt;=K$4,J$6+(K$6-J$6)*($A120-J$4)/(K$4-J$4),0),0)</f>
        <v>0</v>
      </c>
      <c r="L120">
        <f>IF($A120&gt;K$4,IF($A120&lt;=L$4,K$6+(L$6-K$6)*($A120-K$4)/(L$4-K$4),L$6),0)</f>
        <v>0</v>
      </c>
      <c r="M120" s="34">
        <f t="shared" si="281"/>
        <v>5.6520742018193104</v>
      </c>
    </row>
    <row r="121" spans="1:13" x14ac:dyDescent="0.25">
      <c r="A121" s="57" t="s">
        <v>86</v>
      </c>
      <c r="B121" t="s">
        <v>71</v>
      </c>
      <c r="C121">
        <f>IF($A122&lt;=C$4,C$5,0)</f>
        <v>0</v>
      </c>
      <c r="D121">
        <f>IF($A122&gt;C$4,IF($A122&lt;=D$4,C$5+(D$5-C$5)*($A122-C$4)/(D$4-C$4),0),0)</f>
        <v>0</v>
      </c>
      <c r="E121">
        <f>IF($A122&gt;D$4,IF($A122&lt;=E$4,D$5+(E$5-D$5)*($A122-D$4)/(E$4-D$4),0),0)</f>
        <v>0</v>
      </c>
      <c r="F121">
        <f t="shared" ref="F121" si="354">IF($A122&gt;E$4,IF($A122&lt;=F$4,E$5+(F$5-E$5)*($A122-E$4)/(F$4-E$4),0),0)</f>
        <v>0</v>
      </c>
      <c r="G121">
        <f t="shared" ref="G121" si="355">IF($A122&gt;F$4,IF($A122&lt;=G$4,F$5+(G$5-F$5)*($A122-F$4)/(G$4-F$4),0),0)</f>
        <v>0</v>
      </c>
      <c r="H121">
        <f t="shared" ref="H121" si="356">IF($A122&gt;G$4,IF($A122&lt;=H$4,G$5+(H$5-G$5)*($A122-G$4)/(H$4-G$4),0),0)</f>
        <v>0</v>
      </c>
      <c r="I121">
        <f t="shared" ref="I121" si="357">IF($A122&gt;H$4,IF($A122&lt;=I$4,H$5+(I$5-H$5)*($A122-H$4)/(I$4-H$4),0),0)</f>
        <v>0</v>
      </c>
      <c r="J121">
        <f t="shared" ref="J121" si="358">IF($A122&gt;I$4,IF($A122&lt;=J$4,I$5+(J$5-I$5)*($A122-I$4)/(J$4-I$4),0),0)</f>
        <v>0</v>
      </c>
      <c r="K121">
        <f t="shared" ref="K121" si="359">IF($A122&gt;J$4,IF($A122&lt;=K$4,J$5+(K$5-J$5)*($A122-J$4)/(K$4-J$4),0),0)</f>
        <v>11.899238206038055</v>
      </c>
      <c r="L121">
        <f>IF($A122&gt;K$4,IF($A122&lt;=L$4,K$5+(L$5-K$5)*($A122-K$4)/(L$4-K$4),L$5),0)</f>
        <v>0</v>
      </c>
      <c r="M121" s="32">
        <f t="shared" si="281"/>
        <v>11.899238206038055</v>
      </c>
    </row>
    <row r="122" spans="1:13" ht="15.75" thickBot="1" x14ac:dyDescent="0.3">
      <c r="A122">
        <f>I107</f>
        <v>3.8084559129775961</v>
      </c>
      <c r="B122" t="s">
        <v>72</v>
      </c>
      <c r="C122">
        <f>IF($A122&lt;=C$4,C$6,0)</f>
        <v>0</v>
      </c>
      <c r="D122">
        <f>IF($A122&gt;C$4,IF($A122&lt;=D$4,C$6+(D$6-C$6)*($A122-C$4)/(D$4-C$4),0),0)</f>
        <v>0</v>
      </c>
      <c r="E122">
        <f t="shared" ref="E122" si="360">IF($A122&gt;D$4,IF($A122&lt;=E$4,D$6+(E$6-D$6)*($A122-D$4)/(E$4-D$4),0),0)</f>
        <v>0</v>
      </c>
      <c r="F122">
        <f t="shared" ref="F122" si="361">IF($A122&gt;E$4,IF($A122&lt;=F$4,E$6+(F$6-E$6)*($A122-E$4)/(F$4-E$4),0),0)</f>
        <v>0</v>
      </c>
      <c r="G122">
        <f t="shared" ref="G122" si="362">IF($A122&gt;F$4,IF($A122&lt;=G$4,F$6+(G$6-F$6)*($A122-F$4)/(G$4-F$4),0),0)</f>
        <v>0</v>
      </c>
      <c r="H122">
        <f t="shared" ref="H122" si="363">IF($A122&gt;G$4,IF($A122&lt;=H$4,G$6+(H$6-G$6)*($A122-G$4)/(H$4-G$4),0),0)</f>
        <v>0</v>
      </c>
      <c r="I122">
        <f t="shared" ref="I122" si="364">IF($A122&gt;H$4,IF($A122&lt;=I$4,H$6+(I$6-H$6)*($A122-H$4)/(I$4-H$4),0),0)</f>
        <v>0</v>
      </c>
      <c r="J122">
        <f t="shared" ref="J122" si="365">IF($A122&gt;I$4,IF($A122&lt;=J$4,I$6+(J$6-I$6)*($A122-I$4)/(J$4-I$4),0),0)</f>
        <v>0</v>
      </c>
      <c r="K122">
        <f t="shared" ref="K122" si="366">IF($A122&gt;J$4,IF($A122&lt;=K$4,J$6+(K$6-J$6)*($A122-J$4)/(K$4-J$4),0),0)</f>
        <v>6.42171112791545</v>
      </c>
      <c r="L122">
        <f>IF($A122&gt;K$4,IF($A122&lt;=L$4,K$6+(L$6-K$6)*($A122-K$4)/(L$4-K$4),L$6),0)</f>
        <v>0</v>
      </c>
      <c r="M122" s="34">
        <f t="shared" si="281"/>
        <v>6.42171112791545</v>
      </c>
    </row>
    <row r="123" spans="1:13" x14ac:dyDescent="0.25">
      <c r="A123" s="57" t="s">
        <v>87</v>
      </c>
      <c r="B123" t="s">
        <v>71</v>
      </c>
      <c r="C123">
        <f>IF($A124&lt;=C$4,C$5,0)</f>
        <v>0</v>
      </c>
      <c r="D123">
        <f>IF($A124&gt;C$4,IF($A124&lt;=D$4,C$5+(D$5-C$5)*($A124-C$4)/(D$4-C$4),0),0)</f>
        <v>0</v>
      </c>
      <c r="E123">
        <f>IF($A124&gt;D$4,IF($A124&lt;=E$4,D$5+(E$5-D$5)*($A124-D$4)/(E$4-D$4),0),0)</f>
        <v>0</v>
      </c>
      <c r="F123">
        <f t="shared" ref="F123" si="367">IF($A124&gt;E$4,IF($A124&lt;=F$4,E$5+(F$5-E$5)*($A124-E$4)/(F$4-E$4),0),0)</f>
        <v>0</v>
      </c>
      <c r="G123">
        <f t="shared" ref="G123" si="368">IF($A124&gt;F$4,IF($A124&lt;=G$4,F$5+(G$5-F$5)*($A124-F$4)/(G$4-F$4),0),0)</f>
        <v>0</v>
      </c>
      <c r="H123">
        <f t="shared" ref="H123" si="369">IF($A124&gt;G$4,IF($A124&lt;=H$4,G$5+(H$5-G$5)*($A124-G$4)/(H$4-G$4),0),0)</f>
        <v>0</v>
      </c>
      <c r="I123">
        <f t="shared" ref="I123" si="370">IF($A124&gt;H$4,IF($A124&lt;=I$4,H$5+(I$5-H$5)*($A124-H$4)/(I$4-H$4),0),0)</f>
        <v>0</v>
      </c>
      <c r="J123">
        <f t="shared" ref="J123" si="371">IF($A124&gt;I$4,IF($A124&lt;=J$4,I$5+(J$5-I$5)*($A124-I$4)/(J$4-I$4),0),0)</f>
        <v>0</v>
      </c>
      <c r="K123">
        <f t="shared" ref="K123" si="372">IF($A124&gt;J$4,IF($A124&lt;=K$4,J$5+(K$5-J$5)*($A124-J$4)/(K$4-J$4),0),0)</f>
        <v>11.814197582789962</v>
      </c>
      <c r="L123">
        <f>IF($A124&gt;K$4,IF($A124&lt;=L$4,K$5+(L$5-K$5)*($A124-K$4)/(L$4-K$4),L$5),0)</f>
        <v>0</v>
      </c>
      <c r="M123" s="32">
        <f t="shared" si="281"/>
        <v>11.814197582789962</v>
      </c>
    </row>
    <row r="124" spans="1:13" ht="15.75" thickBot="1" x14ac:dyDescent="0.3">
      <c r="A124">
        <f>J107</f>
        <v>4.7524068310314309</v>
      </c>
      <c r="B124" t="s">
        <v>72</v>
      </c>
      <c r="C124">
        <f>IF($A124&lt;=C$4,C$6,0)</f>
        <v>0</v>
      </c>
      <c r="D124">
        <f>IF($A124&gt;C$4,IF($A124&lt;=D$4,C$6+(D$6-C$6)*($A124-C$4)/(D$4-C$4),0),0)</f>
        <v>0</v>
      </c>
      <c r="E124">
        <f t="shared" ref="E124" si="373">IF($A124&gt;D$4,IF($A124&lt;=E$4,D$6+(E$6-D$6)*($A124-D$4)/(E$4-D$4),0),0)</f>
        <v>0</v>
      </c>
      <c r="F124">
        <f t="shared" ref="F124" si="374">IF($A124&gt;E$4,IF($A124&lt;=F$4,E$6+(F$6-E$6)*($A124-E$4)/(F$4-E$4),0),0)</f>
        <v>0</v>
      </c>
      <c r="G124">
        <f t="shared" ref="G124" si="375">IF($A124&gt;F$4,IF($A124&lt;=G$4,F$6+(G$6-F$6)*($A124-F$4)/(G$4-F$4),0),0)</f>
        <v>0</v>
      </c>
      <c r="H124">
        <f t="shared" ref="H124" si="376">IF($A124&gt;G$4,IF($A124&lt;=H$4,G$6+(H$6-G$6)*($A124-G$4)/(H$4-G$4),0),0)</f>
        <v>0</v>
      </c>
      <c r="I124">
        <f t="shared" ref="I124" si="377">IF($A124&gt;H$4,IF($A124&lt;=I$4,H$6+(I$6-H$6)*($A124-H$4)/(I$4-H$4),0),0)</f>
        <v>0</v>
      </c>
      <c r="J124">
        <f t="shared" ref="J124" si="378">IF($A124&gt;I$4,IF($A124&lt;=J$4,I$6+(J$6-I$6)*($A124-I$4)/(J$4-I$4),0),0)</f>
        <v>0</v>
      </c>
      <c r="K124">
        <f t="shared" ref="K124" si="379">IF($A124&gt;J$4,IF($A124&lt;=K$4,J$6+(K$6-J$6)*($A124-J$4)/(K$4-J$4),0),0)</f>
        <v>8.8453688904861067</v>
      </c>
      <c r="L124">
        <f>IF($A124&gt;K$4,IF($A124&lt;=L$4,K$6+(L$6-K$6)*($A124-K$4)/(L$4-K$4),L$6),0)</f>
        <v>0</v>
      </c>
      <c r="M124" s="34">
        <f t="shared" si="281"/>
        <v>8.8453688904861067</v>
      </c>
    </row>
    <row r="125" spans="1:13" x14ac:dyDescent="0.25">
      <c r="A125" s="57" t="s">
        <v>88</v>
      </c>
      <c r="B125" t="s">
        <v>71</v>
      </c>
      <c r="C125">
        <f>IF($A126&lt;=C$4,C$5,0)</f>
        <v>0</v>
      </c>
      <c r="D125">
        <f>IF($A126&gt;C$4,IF($A126&lt;=D$4,C$5+(D$5-C$5)*($A126-C$4)/(D$4-C$4),0),0)</f>
        <v>0</v>
      </c>
      <c r="E125">
        <f>IF($A126&gt;D$4,IF($A126&lt;=E$4,D$5+(E$5-D$5)*($A126-D$4)/(E$4-D$4),0),0)</f>
        <v>0</v>
      </c>
      <c r="F125">
        <f t="shared" ref="F125" si="380">IF($A126&gt;E$4,IF($A126&lt;=F$4,E$5+(F$5-E$5)*($A126-E$4)/(F$4-E$4),0),0)</f>
        <v>0</v>
      </c>
      <c r="G125">
        <f t="shared" ref="G125" si="381">IF($A126&gt;F$4,IF($A126&lt;=G$4,F$5+(G$5-F$5)*($A126-F$4)/(G$4-F$4),0),0)</f>
        <v>0</v>
      </c>
      <c r="H125">
        <f t="shared" ref="H125" si="382">IF($A126&gt;G$4,IF($A126&lt;=H$4,G$5+(H$5-G$5)*($A126-G$4)/(H$4-G$4),0),0)</f>
        <v>0</v>
      </c>
      <c r="I125">
        <f t="shared" ref="I125" si="383">IF($A126&gt;H$4,IF($A126&lt;=I$4,H$5+(I$5-H$5)*($A126-H$4)/(I$4-H$4),0),0)</f>
        <v>0</v>
      </c>
      <c r="J125">
        <f t="shared" ref="J125" si="384">IF($A126&gt;I$4,IF($A126&lt;=J$4,I$5+(J$5-I$5)*($A126-I$4)/(J$4-I$4),0),0)</f>
        <v>0</v>
      </c>
      <c r="K125">
        <f t="shared" ref="K125" si="385">IF($A126&gt;J$4,IF($A126&lt;=K$4,J$5+(K$5-J$5)*($A126-J$4)/(K$4-J$4),0),0)</f>
        <v>0</v>
      </c>
      <c r="L125">
        <f>IF($A126&gt;K$4,IF($A126&lt;=L$4,K$5+(L$5-K$5)*($A126-K$4)/(L$4-K$4),L$5),0)</f>
        <v>11.762454508299349</v>
      </c>
      <c r="M125" s="32">
        <f t="shared" si="281"/>
        <v>11.762454508299349</v>
      </c>
    </row>
    <row r="126" spans="1:13" ht="15.75" thickBot="1" x14ac:dyDescent="0.3">
      <c r="A126">
        <f>K107</f>
        <v>5.9650283167882847</v>
      </c>
      <c r="B126" t="s">
        <v>72</v>
      </c>
      <c r="C126">
        <f>IF($A126&lt;=C$4,C$6,0)</f>
        <v>0</v>
      </c>
      <c r="D126">
        <f>IF($A126&gt;C$4,IF($A126&lt;=D$4,C$6+(D$6-C$6)*($A126-C$4)/(D$4-C$4),0),0)</f>
        <v>0</v>
      </c>
      <c r="E126">
        <f t="shared" ref="E126" si="386">IF($A126&gt;D$4,IF($A126&lt;=E$4,D$6+(E$6-D$6)*($A126-D$4)/(E$4-D$4),0),0)</f>
        <v>0</v>
      </c>
      <c r="F126">
        <f t="shared" ref="F126" si="387">IF($A126&gt;E$4,IF($A126&lt;=F$4,E$6+(F$6-E$6)*($A126-E$4)/(F$4-E$4),0),0)</f>
        <v>0</v>
      </c>
      <c r="G126">
        <f t="shared" ref="G126" si="388">IF($A126&gt;F$4,IF($A126&lt;=G$4,F$6+(G$6-F$6)*($A126-F$4)/(G$4-F$4),0),0)</f>
        <v>0</v>
      </c>
      <c r="H126">
        <f t="shared" ref="H126" si="389">IF($A126&gt;G$4,IF($A126&lt;=H$4,G$6+(H$6-G$6)*($A126-G$4)/(H$4-G$4),0),0)</f>
        <v>0</v>
      </c>
      <c r="I126">
        <f t="shared" ref="I126" si="390">IF($A126&gt;H$4,IF($A126&lt;=I$4,H$6+(I$6-H$6)*($A126-H$4)/(I$4-H$4),0),0)</f>
        <v>0</v>
      </c>
      <c r="J126">
        <f t="shared" ref="J126" si="391">IF($A126&gt;I$4,IF($A126&lt;=J$4,I$6+(J$6-I$6)*($A126-I$4)/(J$4-I$4),0),0)</f>
        <v>0</v>
      </c>
      <c r="K126">
        <f t="shared" ref="K126" si="392">IF($A126&gt;J$4,IF($A126&lt;=K$4,J$6+(K$6-J$6)*($A126-J$4)/(K$4-J$4),0),0)</f>
        <v>0</v>
      </c>
      <c r="L126">
        <f>IF($A126&gt;K$4,IF($A126&lt;=L$4,K$6+(L$6-K$6)*($A126-K$4)/(L$4-K$4),L$6),0)</f>
        <v>10.883228888978305</v>
      </c>
      <c r="M126" s="34">
        <f t="shared" si="281"/>
        <v>10.883228888978305</v>
      </c>
    </row>
    <row r="127" spans="1:13" x14ac:dyDescent="0.25">
      <c r="A127" s="57" t="s">
        <v>89</v>
      </c>
      <c r="B127" t="s">
        <v>71</v>
      </c>
      <c r="C127">
        <f>IF($A128&lt;=C$4,C$5,0)</f>
        <v>0</v>
      </c>
      <c r="D127">
        <f>IF($A128&gt;C$4,IF($A128&lt;=D$4,C$5+(D$5-C$5)*($A128-C$4)/(D$4-C$4),0),0)</f>
        <v>0</v>
      </c>
      <c r="E127">
        <f>IF($A128&gt;D$4,IF($A128&lt;=E$4,D$5+(E$5-D$5)*($A128-D$4)/(E$4-D$4),0),0)</f>
        <v>0</v>
      </c>
      <c r="F127">
        <f t="shared" ref="F127" si="393">IF($A128&gt;E$4,IF($A128&lt;=F$4,E$5+(F$5-E$5)*($A128-E$4)/(F$4-E$4),0),0)</f>
        <v>0</v>
      </c>
      <c r="G127">
        <f t="shared" ref="G127" si="394">IF($A128&gt;F$4,IF($A128&lt;=G$4,F$5+(G$5-F$5)*($A128-F$4)/(G$4-F$4),0),0)</f>
        <v>0</v>
      </c>
      <c r="H127">
        <f t="shared" ref="H127" si="395">IF($A128&gt;G$4,IF($A128&lt;=H$4,G$5+(H$5-G$5)*($A128-G$4)/(H$4-G$4),0),0)</f>
        <v>0</v>
      </c>
      <c r="I127">
        <f t="shared" ref="I127" si="396">IF($A128&gt;H$4,IF($A128&lt;=I$4,H$5+(I$5-H$5)*($A128-H$4)/(I$4-H$4),0),0)</f>
        <v>0</v>
      </c>
      <c r="J127">
        <f t="shared" ref="J127" si="397">IF($A128&gt;I$4,IF($A128&lt;=J$4,I$5+(J$5-I$5)*($A128-I$4)/(J$4-I$4),0),0)</f>
        <v>0</v>
      </c>
      <c r="K127">
        <f t="shared" ref="K127" si="398">IF($A128&gt;J$4,IF($A128&lt;=K$4,J$5+(K$5-J$5)*($A128-J$4)/(K$4-J$4),0),0)</f>
        <v>0</v>
      </c>
      <c r="L127">
        <f>IF($A128&gt;K$4,IF($A128&lt;=L$4,K$5+(L$5-K$5)*($A128-K$4)/(L$4-K$4),L$5),0)</f>
        <v>11.70613055032752</v>
      </c>
      <c r="M127" s="32">
        <f t="shared" si="281"/>
        <v>11.70613055032752</v>
      </c>
    </row>
    <row r="128" spans="1:13" ht="15.75" thickBot="1" x14ac:dyDescent="0.3">
      <c r="A128">
        <f>L107</f>
        <v>7.5477315357966672</v>
      </c>
      <c r="B128" t="s">
        <v>72</v>
      </c>
      <c r="C128">
        <f>IF($A128&lt;=C$4,C$6,0)</f>
        <v>0</v>
      </c>
      <c r="D128">
        <f>IF($A128&gt;C$4,IF($A128&lt;=D$4,C$6+(D$6-C$6)*($A128-C$4)/(D$4-C$4),0),0)</f>
        <v>0</v>
      </c>
      <c r="E128">
        <f t="shared" ref="E128" si="399">IF($A128&gt;D$4,IF($A128&lt;=E$4,D$6+(E$6-D$6)*($A128-D$4)/(E$4-D$4),0),0)</f>
        <v>0</v>
      </c>
      <c r="F128">
        <f t="shared" ref="F128" si="400">IF($A128&gt;E$4,IF($A128&lt;=F$4,E$6+(F$6-E$6)*($A128-E$4)/(F$4-E$4),0),0)</f>
        <v>0</v>
      </c>
      <c r="G128">
        <f t="shared" ref="G128" si="401">IF($A128&gt;F$4,IF($A128&lt;=G$4,F$6+(G$6-F$6)*($A128-F$4)/(G$4-F$4),0),0)</f>
        <v>0</v>
      </c>
      <c r="H128">
        <f t="shared" ref="H128" si="402">IF($A128&gt;G$4,IF($A128&lt;=H$4,G$6+(H$6-G$6)*($A128-G$4)/(H$4-G$4),0),0)</f>
        <v>0</v>
      </c>
      <c r="I128">
        <f t="shared" ref="I128" si="403">IF($A128&gt;H$4,IF($A128&lt;=I$4,H$6+(I$6-H$6)*($A128-H$4)/(I$4-H$4),0),0)</f>
        <v>0</v>
      </c>
      <c r="J128">
        <f t="shared" ref="J128" si="404">IF($A128&gt;I$4,IF($A128&lt;=J$4,I$6+(J$6-I$6)*($A128-I$4)/(J$4-I$4),0),0)</f>
        <v>0</v>
      </c>
      <c r="K128">
        <f t="shared" ref="K128" si="405">IF($A128&gt;J$4,IF($A128&lt;=K$4,J$6+(K$6-J$6)*($A128-J$4)/(K$4-J$4),0),0)</f>
        <v>0</v>
      </c>
      <c r="L128">
        <f>IF($A128&gt;K$4,IF($A128&lt;=L$4,K$6+(L$6-K$6)*($A128-K$4)/(L$4-K$4),L$6),0)</f>
        <v>13.333321060752848</v>
      </c>
      <c r="M128" s="34">
        <f t="shared" si="281"/>
        <v>13.333321060752848</v>
      </c>
    </row>
    <row r="130" spans="1:13" x14ac:dyDescent="0.25">
      <c r="B130" t="s">
        <v>90</v>
      </c>
    </row>
    <row r="131" spans="1:13" ht="15.75" thickBot="1" x14ac:dyDescent="0.3">
      <c r="C131" s="25">
        <v>1</v>
      </c>
      <c r="D131" s="25">
        <v>2</v>
      </c>
      <c r="E131" s="25">
        <v>3</v>
      </c>
      <c r="F131" s="25">
        <v>4</v>
      </c>
      <c r="G131" s="25">
        <v>5</v>
      </c>
      <c r="H131" s="25">
        <v>6</v>
      </c>
      <c r="I131" s="25">
        <v>7</v>
      </c>
      <c r="J131" s="25">
        <v>8</v>
      </c>
      <c r="K131" s="25">
        <v>9</v>
      </c>
      <c r="L131" s="25">
        <v>10</v>
      </c>
    </row>
    <row r="132" spans="1:13" x14ac:dyDescent="0.25">
      <c r="B132" t="s">
        <v>71</v>
      </c>
      <c r="C132" s="58">
        <f>M109</f>
        <v>12.4</v>
      </c>
      <c r="D132" s="59">
        <f>M111</f>
        <v>12.288507216108675</v>
      </c>
      <c r="E132" s="59">
        <f>M113</f>
        <v>12.164479310851283</v>
      </c>
      <c r="F132" s="59">
        <f>M115</f>
        <v>12.057011232088005</v>
      </c>
      <c r="G132" s="59">
        <f>M117</f>
        <v>12</v>
      </c>
      <c r="H132" s="59">
        <f>M119</f>
        <v>11.97479257981807</v>
      </c>
      <c r="I132" s="59">
        <f>M121</f>
        <v>11.899238206038055</v>
      </c>
      <c r="J132" s="59">
        <f>M123</f>
        <v>11.814197582789962</v>
      </c>
      <c r="K132" s="59">
        <f>M125</f>
        <v>11.762454508299349</v>
      </c>
      <c r="L132" s="60">
        <f>M127</f>
        <v>11.70613055032752</v>
      </c>
    </row>
    <row r="133" spans="1:13" ht="15.75" thickBot="1" x14ac:dyDescent="0.3">
      <c r="B133" t="s">
        <v>72</v>
      </c>
      <c r="C133" s="52">
        <f>M110</f>
        <v>3.4594639361781105</v>
      </c>
      <c r="D133" s="53">
        <f t="shared" ref="D133" si="406">M112</f>
        <v>3.7229855677826493</v>
      </c>
      <c r="E133" s="53">
        <f>M114</f>
        <v>3.9710413782974321</v>
      </c>
      <c r="F133" s="53">
        <f>M116</f>
        <v>4.2719550716479766</v>
      </c>
      <c r="G133" s="53">
        <f>M118</f>
        <v>4.8633773544522372</v>
      </c>
      <c r="H133" s="53">
        <f>M120</f>
        <v>5.6520742018193104</v>
      </c>
      <c r="I133" s="53">
        <f>M122</f>
        <v>6.42171112791545</v>
      </c>
      <c r="J133" s="53">
        <f>M124</f>
        <v>8.8453688904861067</v>
      </c>
      <c r="K133" s="53">
        <f>M126</f>
        <v>10.883228888978305</v>
      </c>
      <c r="L133" s="54">
        <f>M128</f>
        <v>13.333321060752848</v>
      </c>
    </row>
    <row r="134" spans="1:13" x14ac:dyDescent="0.25">
      <c r="B134" t="s">
        <v>161</v>
      </c>
      <c r="C134">
        <f>100-C132-C133</f>
        <v>84.140536063821884</v>
      </c>
      <c r="D134">
        <f t="shared" ref="D134:L134" si="407">100-D132-D133</f>
        <v>83.988507216108687</v>
      </c>
      <c r="E134">
        <f t="shared" si="407"/>
        <v>83.864479310851294</v>
      </c>
      <c r="F134">
        <f t="shared" si="407"/>
        <v>83.671033696264018</v>
      </c>
      <c r="G134">
        <f t="shared" si="407"/>
        <v>83.13662264554776</v>
      </c>
      <c r="H134">
        <f t="shared" si="407"/>
        <v>82.373133218362625</v>
      </c>
      <c r="I134">
        <f t="shared" si="407"/>
        <v>81.679050666046507</v>
      </c>
      <c r="J134">
        <f t="shared" si="407"/>
        <v>79.340433526723928</v>
      </c>
      <c r="K134">
        <f t="shared" si="407"/>
        <v>77.354316602722335</v>
      </c>
      <c r="L134">
        <f t="shared" si="407"/>
        <v>74.960548388919634</v>
      </c>
    </row>
    <row r="137" spans="1:13" ht="18.75" x14ac:dyDescent="0.3">
      <c r="B137" s="56">
        <v>2020</v>
      </c>
    </row>
    <row r="138" spans="1:13" x14ac:dyDescent="0.25">
      <c r="C138" s="25">
        <v>1</v>
      </c>
      <c r="D138" s="25">
        <v>2</v>
      </c>
      <c r="E138" s="25">
        <v>3</v>
      </c>
      <c r="F138" s="25">
        <v>4</v>
      </c>
      <c r="G138" s="25">
        <v>5</v>
      </c>
      <c r="H138" s="25">
        <v>6</v>
      </c>
      <c r="I138" s="25">
        <v>7</v>
      </c>
      <c r="J138" s="25">
        <v>8</v>
      </c>
      <c r="K138" s="25">
        <v>9</v>
      </c>
      <c r="L138" s="25">
        <v>10</v>
      </c>
    </row>
    <row r="139" spans="1:13" x14ac:dyDescent="0.25">
      <c r="B139" t="s">
        <v>79</v>
      </c>
      <c r="C139" s="8">
        <f>INDEX(decdoh2020,'матрица расходов'!C138)/расслоение!$M$182</f>
        <v>0.80833838219951248</v>
      </c>
      <c r="D139" s="8">
        <f>INDEX(decdoh2020,'матрица расходов'!D138)/расслоение!$M$182</f>
        <v>1.1464649932085118</v>
      </c>
      <c r="E139" s="8">
        <f>INDEX(decdoh2020,'матрица расходов'!E138)/расслоение!$M$182</f>
        <v>1.5244420278656234</v>
      </c>
      <c r="F139" s="8">
        <f>INDEX(decdoh2020,'матрица расходов'!F138)/расслоение!$M$182</f>
        <v>1.9573112450963139</v>
      </c>
      <c r="G139" s="8">
        <f>INDEX(decdoh2020,'матрица расходов'!G138)/расслоение!$M$182</f>
        <v>2.4657919974589237</v>
      </c>
      <c r="H139" s="8">
        <f>INDEX(decdoh2020,'матрица расходов'!H138)/расслоение!$M$182</f>
        <v>3.0784242697094895</v>
      </c>
      <c r="I139" s="8">
        <f>INDEX(decdoh2020,'матрица расходов'!I138)/расслоение!$M$182</f>
        <v>3.8345206189166432</v>
      </c>
      <c r="J139" s="8">
        <f>INDEX(decdoh2020,'матрица расходов'!J138)/расслоение!$M$182</f>
        <v>4.788232340411664</v>
      </c>
      <c r="K139" s="8">
        <f>INDEX(decdoh2020,'матрица расходов'!K138)/расслоение!$M$182</f>
        <v>6.0141504301691002</v>
      </c>
      <c r="L139" s="8">
        <f>INDEX(decdoh2020,'матрица расходов'!L138)/расслоение!$M$182</f>
        <v>7.6150206608696864</v>
      </c>
    </row>
    <row r="140" spans="1:13" ht="15.75" thickBot="1" x14ac:dyDescent="0.3"/>
    <row r="141" spans="1:13" x14ac:dyDescent="0.25">
      <c r="A141" s="57" t="s">
        <v>80</v>
      </c>
      <c r="B141" t="s">
        <v>71</v>
      </c>
      <c r="C141">
        <f>IF($A142&lt;=C$4,C$5,0)</f>
        <v>0</v>
      </c>
      <c r="D141">
        <f>IF($A142&gt;C$4,IF($A142&lt;=D$4,C$5+(D$5-C$5)*($A142-C$4)/(D$4-C$4),0),0)</f>
        <v>12.4</v>
      </c>
      <c r="E141">
        <f>IF($A142&gt;D$4,IF($A142&lt;=E$4,D$5+(E$5-D$5)*($A142-D$4)/(E$4-D$4),0),0)</f>
        <v>0</v>
      </c>
      <c r="F141">
        <f t="shared" ref="F141" si="408">IF($A142&gt;E$4,IF($A142&lt;=F$4,E$5+(F$5-E$5)*($A142-E$4)/(F$4-E$4),0),0)</f>
        <v>0</v>
      </c>
      <c r="G141">
        <f t="shared" ref="G141" si="409">IF($A142&gt;F$4,IF($A142&lt;=G$4,F$5+(G$5-F$5)*($A142-F$4)/(G$4-F$4),0),0)</f>
        <v>0</v>
      </c>
      <c r="H141">
        <f t="shared" ref="H141" si="410">IF($A142&gt;G$4,IF($A142&lt;=H$4,G$5+(H$5-G$5)*($A142-G$4)/(H$4-G$4),0),0)</f>
        <v>0</v>
      </c>
      <c r="I141">
        <f t="shared" ref="I141" si="411">IF($A142&gt;H$4,IF($A142&lt;=I$4,H$5+(I$5-H$5)*($A142-H$4)/(I$4-H$4),0),0)</f>
        <v>0</v>
      </c>
      <c r="J141">
        <f t="shared" ref="J141" si="412">IF($A142&gt;I$4,IF($A142&lt;=J$4,I$5+(J$5-I$5)*($A142-I$4)/(J$4-I$4),0),0)</f>
        <v>0</v>
      </c>
      <c r="K141">
        <f t="shared" ref="K141" si="413">IF($A142&gt;J$4,IF($A142&lt;=K$4,J$5+(K$5-J$5)*($A142-J$4)/(K$4-J$4),0),0)</f>
        <v>0</v>
      </c>
      <c r="L141">
        <f>IF($A142&gt;K$4,IF($A142&lt;=L$4,K$5+(L$5-K$5)*($A142-K$4)/(L$4-K$4),L$5),0)</f>
        <v>0</v>
      </c>
      <c r="M141" s="32">
        <f t="shared" ref="M141:M160" si="414">SUM(C141:L141)</f>
        <v>12.4</v>
      </c>
    </row>
    <row r="142" spans="1:13" ht="15.75" thickBot="1" x14ac:dyDescent="0.3">
      <c r="A142">
        <f>C139</f>
        <v>0.80833838219951248</v>
      </c>
      <c r="B142" t="s">
        <v>72</v>
      </c>
      <c r="C142">
        <f>IF($A142&lt;=C$4,C$6,0)</f>
        <v>0</v>
      </c>
      <c r="D142">
        <f>IF($A142&gt;C$4,IF($A142&lt;=D$4,C$6+(D$6-C$6)*($A142-C$4)/(D$4-C$4),0),0)</f>
        <v>3.4610558203365343</v>
      </c>
      <c r="E142">
        <f t="shared" ref="E142" si="415">IF($A142&gt;D$4,IF($A142&lt;=E$4,D$6+(E$6-D$6)*($A142-D$4)/(E$4-D$4),0),0)</f>
        <v>0</v>
      </c>
      <c r="F142">
        <f t="shared" ref="F142" si="416">IF($A142&gt;E$4,IF($A142&lt;=F$4,E$6+(F$6-E$6)*($A142-E$4)/(F$4-E$4),0),0)</f>
        <v>0</v>
      </c>
      <c r="G142">
        <f t="shared" ref="G142" si="417">IF($A142&gt;F$4,IF($A142&lt;=G$4,F$6+(G$6-F$6)*($A142-F$4)/(G$4-F$4),0),0)</f>
        <v>0</v>
      </c>
      <c r="H142">
        <f t="shared" ref="H142" si="418">IF($A142&gt;G$4,IF($A142&lt;=H$4,G$6+(H$6-G$6)*($A142-G$4)/(H$4-G$4),0),0)</f>
        <v>0</v>
      </c>
      <c r="I142">
        <f t="shared" ref="I142" si="419">IF($A142&gt;H$4,IF($A142&lt;=I$4,H$6+(I$6-H$6)*($A142-H$4)/(I$4-H$4),0),0)</f>
        <v>0</v>
      </c>
      <c r="J142">
        <f t="shared" ref="J142" si="420">IF($A142&gt;I$4,IF($A142&lt;=J$4,I$6+(J$6-I$6)*($A142-I$4)/(J$4-I$4),0),0)</f>
        <v>0</v>
      </c>
      <c r="K142">
        <f t="shared" ref="K142" si="421">IF($A142&gt;J$4,IF($A142&lt;=K$4,J$6+(K$6-J$6)*($A142-J$4)/(K$4-J$4),0),0)</f>
        <v>0</v>
      </c>
      <c r="L142">
        <f>IF($A142&gt;K$4,IF($A142&lt;=L$4,K$6+(L$6-K$6)*($A142-K$4)/(L$4-K$4),L$6),0)</f>
        <v>0</v>
      </c>
      <c r="M142" s="34">
        <f t="shared" si="414"/>
        <v>3.4610558203365343</v>
      </c>
    </row>
    <row r="143" spans="1:13" x14ac:dyDescent="0.25">
      <c r="A143" s="57" t="s">
        <v>81</v>
      </c>
      <c r="B143" t="s">
        <v>71</v>
      </c>
      <c r="C143">
        <f>IF($A144&lt;=C$4,C$5,0)</f>
        <v>0</v>
      </c>
      <c r="D143">
        <f>IF($A144&gt;C$4,IF($A144&lt;=D$4,C$5+(D$5-C$5)*($A144-C$4)/(D$4-C$4),0),0)</f>
        <v>0</v>
      </c>
      <c r="E143">
        <f>IF($A144&gt;D$4,IF($A144&lt;=E$4,D$5+(E$5-D$5)*($A144-D$4)/(E$4-D$4),0),0)</f>
        <v>0</v>
      </c>
      <c r="F143">
        <f t="shared" ref="F143" si="422">IF($A144&gt;E$4,IF($A144&lt;=F$4,E$5+(F$5-E$5)*($A144-E$4)/(F$4-E$4),0),0)</f>
        <v>12.286976788139818</v>
      </c>
      <c r="G143">
        <f t="shared" ref="G143" si="423">IF($A144&gt;F$4,IF($A144&lt;=G$4,F$5+(G$5-F$5)*($A144-F$4)/(G$4-F$4),0),0)</f>
        <v>0</v>
      </c>
      <c r="H143">
        <f t="shared" ref="H143" si="424">IF($A144&gt;G$4,IF($A144&lt;=H$4,G$5+(H$5-G$5)*($A144-G$4)/(H$4-G$4),0),0)</f>
        <v>0</v>
      </c>
      <c r="I143">
        <f t="shared" ref="I143" si="425">IF($A144&gt;H$4,IF($A144&lt;=I$4,H$5+(I$5-H$5)*($A144-H$4)/(I$4-H$4),0),0)</f>
        <v>0</v>
      </c>
      <c r="J143">
        <f t="shared" ref="J143" si="426">IF($A144&gt;I$4,IF($A144&lt;=J$4,I$5+(J$5-I$5)*($A144-I$4)/(J$4-I$4),0),0)</f>
        <v>0</v>
      </c>
      <c r="K143">
        <f t="shared" ref="K143" si="427">IF($A144&gt;J$4,IF($A144&lt;=K$4,J$5+(K$5-J$5)*($A144-J$4)/(K$4-J$4),0),0)</f>
        <v>0</v>
      </c>
      <c r="L143">
        <f>IF($A144&gt;K$4,IF($A144&lt;=L$4,K$5+(L$5-K$5)*($A144-K$4)/(L$4-K$4),L$5),0)</f>
        <v>0</v>
      </c>
      <c r="M143" s="32">
        <f t="shared" si="414"/>
        <v>12.286976788139818</v>
      </c>
    </row>
    <row r="144" spans="1:13" ht="15.75" thickBot="1" x14ac:dyDescent="0.3">
      <c r="A144">
        <f>D139</f>
        <v>1.1464649932085118</v>
      </c>
      <c r="B144" t="s">
        <v>72</v>
      </c>
      <c r="C144">
        <f>IF($A144&lt;=C$4,C$6,0)</f>
        <v>0</v>
      </c>
      <c r="D144">
        <f>IF($A144&gt;C$4,IF($A144&lt;=D$4,C$6+(D$6-C$6)*($A144-C$4)/(D$4-C$4),0),0)</f>
        <v>0</v>
      </c>
      <c r="E144">
        <f t="shared" ref="E144" si="428">IF($A144&gt;D$4,IF($A144&lt;=E$4,D$6+(E$6-D$6)*($A144-D$4)/(E$4-D$4),0),0)</f>
        <v>0</v>
      </c>
      <c r="F144">
        <f t="shared" ref="F144" si="429">IF($A144&gt;E$4,IF($A144&lt;=F$4,E$6+(F$6-E$6)*($A144-E$4)/(F$4-E$4),0),0)</f>
        <v>3.7260464237203657</v>
      </c>
      <c r="G144">
        <f t="shared" ref="G144" si="430">IF($A144&gt;F$4,IF($A144&lt;=G$4,F$6+(G$6-F$6)*($A144-F$4)/(G$4-F$4),0),0)</f>
        <v>0</v>
      </c>
      <c r="H144">
        <f t="shared" ref="H144" si="431">IF($A144&gt;G$4,IF($A144&lt;=H$4,G$6+(H$6-G$6)*($A144-G$4)/(H$4-G$4),0),0)</f>
        <v>0</v>
      </c>
      <c r="I144">
        <f t="shared" ref="I144" si="432">IF($A144&gt;H$4,IF($A144&lt;=I$4,H$6+(I$6-H$6)*($A144-H$4)/(I$4-H$4),0),0)</f>
        <v>0</v>
      </c>
      <c r="J144">
        <f t="shared" ref="J144" si="433">IF($A144&gt;I$4,IF($A144&lt;=J$4,I$6+(J$6-I$6)*($A144-I$4)/(J$4-I$4),0),0)</f>
        <v>0</v>
      </c>
      <c r="K144">
        <f t="shared" ref="K144" si="434">IF($A144&gt;J$4,IF($A144&lt;=K$4,J$6+(K$6-J$6)*($A144-J$4)/(K$4-J$4),0),0)</f>
        <v>0</v>
      </c>
      <c r="L144">
        <f>IF($A144&gt;K$4,IF($A144&lt;=L$4,K$6+(L$6-K$6)*($A144-K$4)/(L$4-K$4),L$6),0)</f>
        <v>0</v>
      </c>
      <c r="M144" s="34">
        <f t="shared" si="414"/>
        <v>3.7260464237203657</v>
      </c>
    </row>
    <row r="145" spans="1:13" x14ac:dyDescent="0.25">
      <c r="A145" s="57" t="s">
        <v>82</v>
      </c>
      <c r="B145" t="s">
        <v>71</v>
      </c>
      <c r="C145">
        <f>IF($A146&lt;=C$4,C$5,0)</f>
        <v>0</v>
      </c>
      <c r="D145">
        <f>IF($A146&gt;C$4,IF($A146&lt;=D$4,C$5+(D$5-C$5)*($A146-C$4)/(D$4-C$4),0),0)</f>
        <v>0</v>
      </c>
      <c r="E145">
        <f>IF($A146&gt;D$4,IF($A146&lt;=E$4,D$5+(E$5-D$5)*($A146-D$4)/(E$4-D$4),0),0)</f>
        <v>0</v>
      </c>
      <c r="F145">
        <f t="shared" ref="F145" si="435">IF($A146&gt;E$4,IF($A146&lt;=F$4,E$5+(F$5-E$5)*($A146-E$4)/(F$4-E$4),0),0)</f>
        <v>0</v>
      </c>
      <c r="G145">
        <f t="shared" ref="G145" si="436">IF($A146&gt;F$4,IF($A146&lt;=G$4,F$5+(G$5-F$5)*($A146-F$4)/(G$4-F$4),0),0)</f>
        <v>12.162654992259549</v>
      </c>
      <c r="H145">
        <f t="shared" ref="H145" si="437">IF($A146&gt;G$4,IF($A146&lt;=H$4,G$5+(H$5-G$5)*($A146-G$4)/(H$4-G$4),0),0)</f>
        <v>0</v>
      </c>
      <c r="I145">
        <f t="shared" ref="I145" si="438">IF($A146&gt;H$4,IF($A146&lt;=I$4,H$5+(I$5-H$5)*($A146-H$4)/(I$4-H$4),0),0)</f>
        <v>0</v>
      </c>
      <c r="J145">
        <f t="shared" ref="J145" si="439">IF($A146&gt;I$4,IF($A146&lt;=J$4,I$5+(J$5-I$5)*($A146-I$4)/(J$4-I$4),0),0)</f>
        <v>0</v>
      </c>
      <c r="K145">
        <f t="shared" ref="K145" si="440">IF($A146&gt;J$4,IF($A146&lt;=K$4,J$5+(K$5-J$5)*($A146-J$4)/(K$4-J$4),0),0)</f>
        <v>0</v>
      </c>
      <c r="L145">
        <f>IF($A146&gt;K$4,IF($A146&lt;=L$4,K$5+(L$5-K$5)*($A146-K$4)/(L$4-K$4),L$5),0)</f>
        <v>0</v>
      </c>
      <c r="M145" s="32">
        <f t="shared" si="414"/>
        <v>12.162654992259549</v>
      </c>
    </row>
    <row r="146" spans="1:13" ht="15.75" thickBot="1" x14ac:dyDescent="0.3">
      <c r="A146">
        <f>E139</f>
        <v>1.5244420278656234</v>
      </c>
      <c r="B146" t="s">
        <v>72</v>
      </c>
      <c r="C146">
        <f>IF($A146&lt;=C$4,C$6,0)</f>
        <v>0</v>
      </c>
      <c r="D146">
        <f>IF($A146&gt;C$4,IF($A146&lt;=D$4,C$6+(D$6-C$6)*($A146-C$4)/(D$4-C$4),0),0)</f>
        <v>0</v>
      </c>
      <c r="E146">
        <f t="shared" ref="E146" si="441">IF($A146&gt;D$4,IF($A146&lt;=E$4,D$6+(E$6-D$6)*($A146-D$4)/(E$4-D$4),0),0)</f>
        <v>0</v>
      </c>
      <c r="F146">
        <f t="shared" ref="F146" si="442">IF($A146&gt;E$4,IF($A146&lt;=F$4,E$6+(F$6-E$6)*($A146-E$4)/(F$4-E$4),0),0)</f>
        <v>0</v>
      </c>
      <c r="G146">
        <f t="shared" ref="G146" si="443">IF($A146&gt;F$4,IF($A146&lt;=G$4,F$6+(G$6-F$6)*($A146-F$4)/(G$4-F$4),0),0)</f>
        <v>3.9746900154809017</v>
      </c>
      <c r="H146">
        <f t="shared" ref="H146" si="444">IF($A146&gt;G$4,IF($A146&lt;=H$4,G$6+(H$6-G$6)*($A146-G$4)/(H$4-G$4),0),0)</f>
        <v>0</v>
      </c>
      <c r="I146">
        <f t="shared" ref="I146" si="445">IF($A146&gt;H$4,IF($A146&lt;=I$4,H$6+(I$6-H$6)*($A146-H$4)/(I$4-H$4),0),0)</f>
        <v>0</v>
      </c>
      <c r="J146">
        <f t="shared" ref="J146" si="446">IF($A146&gt;I$4,IF($A146&lt;=J$4,I$6+(J$6-I$6)*($A146-I$4)/(J$4-I$4),0),0)</f>
        <v>0</v>
      </c>
      <c r="K146">
        <f t="shared" ref="K146" si="447">IF($A146&gt;J$4,IF($A146&lt;=K$4,J$6+(K$6-J$6)*($A146-J$4)/(K$4-J$4),0),0)</f>
        <v>0</v>
      </c>
      <c r="L146">
        <f>IF($A146&gt;K$4,IF($A146&lt;=L$4,K$6+(L$6-K$6)*($A146-K$4)/(L$4-K$4),L$6),0)</f>
        <v>0</v>
      </c>
      <c r="M146" s="34">
        <f t="shared" si="414"/>
        <v>3.9746900154809017</v>
      </c>
    </row>
    <row r="147" spans="1:13" x14ac:dyDescent="0.25">
      <c r="A147" s="57" t="s">
        <v>83</v>
      </c>
      <c r="B147" t="s">
        <v>71</v>
      </c>
      <c r="C147">
        <f>IF($A148&lt;=C$4,C$5,0)</f>
        <v>0</v>
      </c>
      <c r="D147">
        <f>IF($A148&gt;C$4,IF($A148&lt;=D$4,C$5+(D$5-C$5)*($A148-C$4)/(D$4-C$4),0),0)</f>
        <v>0</v>
      </c>
      <c r="E147">
        <f>IF($A148&gt;D$4,IF($A148&lt;=E$4,D$5+(E$5-D$5)*($A148-D$4)/(E$4-D$4),0),0)</f>
        <v>0</v>
      </c>
      <c r="F147">
        <f t="shared" ref="F147" si="448">IF($A148&gt;E$4,IF($A148&lt;=F$4,E$5+(F$5-E$5)*($A148-E$4)/(F$4-E$4),0),0)</f>
        <v>0</v>
      </c>
      <c r="G147">
        <f t="shared" ref="G147" si="449">IF($A148&gt;F$4,IF($A148&lt;=G$4,F$5+(G$5-F$5)*($A148-F$4)/(G$4-F$4),0),0)</f>
        <v>0</v>
      </c>
      <c r="H147">
        <f t="shared" ref="H147" si="450">IF($A148&gt;G$4,IF($A148&lt;=H$4,G$5+(H$5-G$5)*($A148-G$4)/(H$4-G$4),0),0)</f>
        <v>12.054932338022541</v>
      </c>
      <c r="I147">
        <f t="shared" ref="I147" si="451">IF($A148&gt;H$4,IF($A148&lt;=I$4,H$5+(I$5-H$5)*($A148-H$4)/(I$4-H$4),0),0)</f>
        <v>0</v>
      </c>
      <c r="J147">
        <f t="shared" ref="J147" si="452">IF($A148&gt;I$4,IF($A148&lt;=J$4,I$5+(J$5-I$5)*($A148-I$4)/(J$4-I$4),0),0)</f>
        <v>0</v>
      </c>
      <c r="K147">
        <f t="shared" ref="K147" si="453">IF($A148&gt;J$4,IF($A148&lt;=K$4,J$5+(K$5-J$5)*($A148-J$4)/(K$4-J$4),0),0)</f>
        <v>0</v>
      </c>
      <c r="L147">
        <f>IF($A148&gt;K$4,IF($A148&lt;=L$4,K$5+(L$5-K$5)*($A148-K$4)/(L$4-K$4),L$5),0)</f>
        <v>0</v>
      </c>
      <c r="M147" s="32">
        <f t="shared" si="414"/>
        <v>12.054932338022541</v>
      </c>
    </row>
    <row r="148" spans="1:13" ht="15.75" thickBot="1" x14ac:dyDescent="0.3">
      <c r="A148">
        <f>F139</f>
        <v>1.9573112450963139</v>
      </c>
      <c r="B148" t="s">
        <v>72</v>
      </c>
      <c r="C148">
        <f>IF($A148&lt;=C$4,C$6,0)</f>
        <v>0</v>
      </c>
      <c r="D148">
        <f>IF($A148&gt;C$4,IF($A148&lt;=D$4,C$6+(D$6-C$6)*($A148-C$4)/(D$4-C$4),0),0)</f>
        <v>0</v>
      </c>
      <c r="E148">
        <f t="shared" ref="E148" si="454">IF($A148&gt;D$4,IF($A148&lt;=E$4,D$6+(E$6-D$6)*($A148-D$4)/(E$4-D$4),0),0)</f>
        <v>0</v>
      </c>
      <c r="F148">
        <f t="shared" ref="F148" si="455">IF($A148&gt;E$4,IF($A148&lt;=F$4,E$6+(F$6-E$6)*($A148-E$4)/(F$4-E$4),0),0)</f>
        <v>0</v>
      </c>
      <c r="G148">
        <f t="shared" ref="G148" si="456">IF($A148&gt;F$4,IF($A148&lt;=G$4,F$6+(G$6-F$6)*($A148-F$4)/(G$4-F$4),0),0)</f>
        <v>0</v>
      </c>
      <c r="H148">
        <f t="shared" ref="H148" si="457">IF($A148&gt;G$4,IF($A148&lt;=H$4,G$6+(H$6-G$6)*($A148-G$4)/(H$4-G$4),0),0)</f>
        <v>4.2802706479098385</v>
      </c>
      <c r="I148">
        <f t="shared" ref="I148" si="458">IF($A148&gt;H$4,IF($A148&lt;=I$4,H$6+(I$6-H$6)*($A148-H$4)/(I$4-H$4),0),0)</f>
        <v>0</v>
      </c>
      <c r="J148">
        <f t="shared" ref="J148" si="459">IF($A148&gt;I$4,IF($A148&lt;=J$4,I$6+(J$6-I$6)*($A148-I$4)/(J$4-I$4),0),0)</f>
        <v>0</v>
      </c>
      <c r="K148">
        <f t="shared" ref="K148" si="460">IF($A148&gt;J$4,IF($A148&lt;=K$4,J$6+(K$6-J$6)*($A148-J$4)/(K$4-J$4),0),0)</f>
        <v>0</v>
      </c>
      <c r="L148">
        <f>IF($A148&gt;K$4,IF($A148&lt;=L$4,K$6+(L$6-K$6)*($A148-K$4)/(L$4-K$4),L$6),0)</f>
        <v>0</v>
      </c>
      <c r="M148" s="34">
        <f t="shared" si="414"/>
        <v>4.2802706479098385</v>
      </c>
    </row>
    <row r="149" spans="1:13" x14ac:dyDescent="0.25">
      <c r="A149" s="57" t="s">
        <v>84</v>
      </c>
      <c r="B149" t="s">
        <v>71</v>
      </c>
      <c r="C149">
        <f>IF($A150&lt;=C$4,C$5,0)</f>
        <v>0</v>
      </c>
      <c r="D149">
        <f>IF($A150&gt;C$4,IF($A150&lt;=D$4,C$5+(D$5-C$5)*($A150-C$4)/(D$4-C$4),0),0)</f>
        <v>0</v>
      </c>
      <c r="E149">
        <f>IF($A150&gt;D$4,IF($A150&lt;=E$4,D$5+(E$5-D$5)*($A150-D$4)/(E$4-D$4),0),0)</f>
        <v>0</v>
      </c>
      <c r="F149">
        <f t="shared" ref="F149" si="461">IF($A150&gt;E$4,IF($A150&lt;=F$4,E$5+(F$5-E$5)*($A150-E$4)/(F$4-E$4),0),0)</f>
        <v>0</v>
      </c>
      <c r="G149">
        <f t="shared" ref="G149" si="462">IF($A150&gt;F$4,IF($A150&lt;=G$4,F$5+(G$5-F$5)*($A150-F$4)/(G$4-F$4),0),0)</f>
        <v>0</v>
      </c>
      <c r="H149">
        <f t="shared" ref="H149" si="463">IF($A150&gt;G$4,IF($A150&lt;=H$4,G$5+(H$5-G$5)*($A150-G$4)/(H$4-G$4),0),0)</f>
        <v>0</v>
      </c>
      <c r="I149">
        <f t="shared" ref="I149" si="464">IF($A150&gt;H$4,IF($A150&lt;=I$4,H$5+(I$5-H$5)*($A150-H$4)/(I$4-H$4),0),0)</f>
        <v>12</v>
      </c>
      <c r="J149">
        <f t="shared" ref="J149" si="465">IF($A150&gt;I$4,IF($A150&lt;=J$4,I$5+(J$5-I$5)*($A150-I$4)/(J$4-I$4),0),0)</f>
        <v>0</v>
      </c>
      <c r="K149">
        <f t="shared" ref="K149" si="466">IF($A150&gt;J$4,IF($A150&lt;=K$4,J$5+(K$5-J$5)*($A150-J$4)/(K$4-J$4),0),0)</f>
        <v>0</v>
      </c>
      <c r="L149">
        <f>IF($A150&gt;K$4,IF($A150&lt;=L$4,K$5+(L$5-K$5)*($A150-K$4)/(L$4-K$4),L$5),0)</f>
        <v>0</v>
      </c>
      <c r="M149" s="32">
        <f t="shared" si="414"/>
        <v>12</v>
      </c>
    </row>
    <row r="150" spans="1:13" ht="15.75" thickBot="1" x14ac:dyDescent="0.3">
      <c r="A150">
        <f>G139</f>
        <v>2.4657919974589237</v>
      </c>
      <c r="B150" t="s">
        <v>72</v>
      </c>
      <c r="C150">
        <f>IF($A150&lt;=C$4,C$6,0)</f>
        <v>0</v>
      </c>
      <c r="D150">
        <f>IF($A150&gt;C$4,IF($A150&lt;=D$4,C$6+(D$6-C$6)*($A150-C$4)/(D$4-C$4),0),0)</f>
        <v>0</v>
      </c>
      <c r="E150">
        <f t="shared" ref="E150" si="467">IF($A150&gt;D$4,IF($A150&lt;=E$4,D$6+(E$6-D$6)*($A150-D$4)/(E$4-D$4),0),0)</f>
        <v>0</v>
      </c>
      <c r="F150">
        <f t="shared" ref="F150" si="468">IF($A150&gt;E$4,IF($A150&lt;=F$4,E$6+(F$6-E$6)*($A150-E$4)/(F$4-E$4),0),0)</f>
        <v>0</v>
      </c>
      <c r="G150">
        <f t="shared" ref="G150" si="469">IF($A150&gt;F$4,IF($A150&lt;=G$4,F$6+(G$6-F$6)*($A150-F$4)/(G$4-F$4),0),0)</f>
        <v>0</v>
      </c>
      <c r="H150">
        <f t="shared" ref="H150" si="470">IF($A150&gt;G$4,IF($A150&lt;=H$4,G$6+(H$6-G$6)*($A150-G$4)/(H$4-G$4),0),0)</f>
        <v>0</v>
      </c>
      <c r="I150">
        <f t="shared" ref="I150" si="471">IF($A150&gt;H$4,IF($A150&lt;=I$4,H$6+(I$6-H$6)*($A150-H$4)/(I$4-H$4),0),0)</f>
        <v>4.8836879961883861</v>
      </c>
      <c r="J150">
        <f t="shared" ref="J150" si="472">IF($A150&gt;I$4,IF($A150&lt;=J$4,I$6+(J$6-I$6)*($A150-I$4)/(J$4-I$4),0),0)</f>
        <v>0</v>
      </c>
      <c r="K150">
        <f t="shared" ref="K150" si="473">IF($A150&gt;J$4,IF($A150&lt;=K$4,J$6+(K$6-J$6)*($A150-J$4)/(K$4-J$4),0),0)</f>
        <v>0</v>
      </c>
      <c r="L150">
        <f>IF($A150&gt;K$4,IF($A150&lt;=L$4,K$6+(L$6-K$6)*($A150-K$4)/(L$4-K$4),L$6),0)</f>
        <v>0</v>
      </c>
      <c r="M150" s="34">
        <f t="shared" si="414"/>
        <v>4.8836879961883861</v>
      </c>
    </row>
    <row r="151" spans="1:13" x14ac:dyDescent="0.25">
      <c r="A151" s="57" t="s">
        <v>85</v>
      </c>
      <c r="B151" t="s">
        <v>71</v>
      </c>
      <c r="C151">
        <f>IF($A152&lt;=C$4,C$5,0)</f>
        <v>0</v>
      </c>
      <c r="D151">
        <f>IF($A152&gt;C$4,IF($A152&lt;=D$4,C$5+(D$5-C$5)*($A152-C$4)/(D$4-C$4),0),0)</f>
        <v>0</v>
      </c>
      <c r="E151">
        <f>IF($A152&gt;D$4,IF($A152&lt;=E$4,D$5+(E$5-D$5)*($A152-D$4)/(E$4-D$4),0),0)</f>
        <v>0</v>
      </c>
      <c r="F151">
        <f t="shared" ref="F151" si="474">IF($A152&gt;E$4,IF($A152&lt;=F$4,E$5+(F$5-E$5)*($A152-E$4)/(F$4-E$4),0),0)</f>
        <v>0</v>
      </c>
      <c r="G151">
        <f t="shared" ref="G151" si="475">IF($A152&gt;F$4,IF($A152&lt;=G$4,F$5+(G$5-F$5)*($A152-F$4)/(G$4-F$4),0),0)</f>
        <v>0</v>
      </c>
      <c r="H151">
        <f t="shared" ref="H151" si="476">IF($A152&gt;G$4,IF($A152&lt;=H$4,G$5+(H$5-G$5)*($A152-G$4)/(H$4-G$4),0),0)</f>
        <v>0</v>
      </c>
      <c r="I151">
        <f t="shared" ref="I151" si="477">IF($A152&gt;H$4,IF($A152&lt;=I$4,H$5+(I$5-H$5)*($A152-H$4)/(I$4-H$4),0),0)</f>
        <v>0</v>
      </c>
      <c r="J151">
        <f t="shared" ref="J151" si="478">IF($A152&gt;I$4,IF($A152&lt;=J$4,I$5+(J$5-I$5)*($A152-I$4)/(J$4-I$4),0),0)</f>
        <v>11.972886437403082</v>
      </c>
      <c r="K151">
        <f t="shared" ref="K151" si="479">IF($A152&gt;J$4,IF($A152&lt;=K$4,J$5+(K$5-J$5)*($A152-J$4)/(K$4-J$4),0),0)</f>
        <v>0</v>
      </c>
      <c r="L151">
        <f>IF($A152&gt;K$4,IF($A152&lt;=L$4,K$5+(L$5-K$5)*($A152-K$4)/(L$4-K$4),L$5),0)</f>
        <v>0</v>
      </c>
      <c r="M151" s="32">
        <f t="shared" si="414"/>
        <v>11.972886437403082</v>
      </c>
    </row>
    <row r="152" spans="1:13" ht="15.75" thickBot="1" x14ac:dyDescent="0.3">
      <c r="A152">
        <f>H139</f>
        <v>3.0784242697094895</v>
      </c>
      <c r="B152" t="s">
        <v>72</v>
      </c>
      <c r="C152">
        <f>IF($A152&lt;=C$4,C$6,0)</f>
        <v>0</v>
      </c>
      <c r="D152">
        <f>IF($A152&gt;C$4,IF($A152&lt;=D$4,C$6+(D$6-C$6)*($A152-C$4)/(D$4-C$4),0),0)</f>
        <v>0</v>
      </c>
      <c r="E152">
        <f t="shared" ref="E152" si="480">IF($A152&gt;D$4,IF($A152&lt;=E$4,D$6+(E$6-D$6)*($A152-D$4)/(E$4-D$4),0),0)</f>
        <v>0</v>
      </c>
      <c r="F152">
        <f t="shared" ref="F152" si="481">IF($A152&gt;E$4,IF($A152&lt;=F$4,E$6+(F$6-E$6)*($A152-E$4)/(F$4-E$4),0),0)</f>
        <v>0</v>
      </c>
      <c r="G152">
        <f t="shared" ref="G152" si="482">IF($A152&gt;F$4,IF($A152&lt;=G$4,F$6+(G$6-F$6)*($A152-F$4)/(G$4-F$4),0),0)</f>
        <v>0</v>
      </c>
      <c r="H152">
        <f t="shared" ref="H152" si="483">IF($A152&gt;G$4,IF($A152&lt;=H$4,G$6+(H$6-G$6)*($A152-G$4)/(H$4-G$4),0),0)</f>
        <v>0</v>
      </c>
      <c r="I152">
        <f t="shared" ref="I152" si="484">IF($A152&gt;H$4,IF($A152&lt;=I$4,H$6+(I$6-H$6)*($A152-H$4)/(I$4-H$4),0),0)</f>
        <v>0</v>
      </c>
      <c r="J152">
        <f t="shared" ref="J152" si="485">IF($A152&gt;I$4,IF($A152&lt;=J$4,I$6+(J$6-I$6)*($A152-I$4)/(J$4-I$4),0),0)</f>
        <v>5.6711356259691819</v>
      </c>
      <c r="K152">
        <f t="shared" ref="K152" si="486">IF($A152&gt;J$4,IF($A152&lt;=K$4,J$6+(K$6-J$6)*($A152-J$4)/(K$4-J$4),0),0)</f>
        <v>0</v>
      </c>
      <c r="L152">
        <f>IF($A152&gt;K$4,IF($A152&lt;=L$4,K$6+(L$6-K$6)*($A152-K$4)/(L$4-K$4),L$6),0)</f>
        <v>0</v>
      </c>
      <c r="M152" s="34">
        <f t="shared" si="414"/>
        <v>5.6711356259691819</v>
      </c>
    </row>
    <row r="153" spans="1:13" x14ac:dyDescent="0.25">
      <c r="A153" s="57" t="s">
        <v>86</v>
      </c>
      <c r="B153" t="s">
        <v>71</v>
      </c>
      <c r="C153">
        <f>IF($A154&lt;=C$4,C$5,0)</f>
        <v>0</v>
      </c>
      <c r="D153">
        <f>IF($A154&gt;C$4,IF($A154&lt;=D$4,C$5+(D$5-C$5)*($A154-C$4)/(D$4-C$4),0),0)</f>
        <v>0</v>
      </c>
      <c r="E153">
        <f>IF($A154&gt;D$4,IF($A154&lt;=E$4,D$5+(E$5-D$5)*($A154-D$4)/(E$4-D$4),0),0)</f>
        <v>0</v>
      </c>
      <c r="F153">
        <f t="shared" ref="F153" si="487">IF($A154&gt;E$4,IF($A154&lt;=F$4,E$5+(F$5-E$5)*($A154-E$4)/(F$4-E$4),0),0)</f>
        <v>0</v>
      </c>
      <c r="G153">
        <f t="shared" ref="G153" si="488">IF($A154&gt;F$4,IF($A154&lt;=G$4,F$5+(G$5-F$5)*($A154-F$4)/(G$4-F$4),0),0)</f>
        <v>0</v>
      </c>
      <c r="H153">
        <f t="shared" ref="H153" si="489">IF($A154&gt;G$4,IF($A154&lt;=H$4,G$5+(H$5-G$5)*($A154-G$4)/(H$4-G$4),0),0)</f>
        <v>0</v>
      </c>
      <c r="I153">
        <f t="shared" ref="I153" si="490">IF($A154&gt;H$4,IF($A154&lt;=I$4,H$5+(I$5-H$5)*($A154-H$4)/(I$4-H$4),0),0)</f>
        <v>0</v>
      </c>
      <c r="J153">
        <f t="shared" ref="J153" si="491">IF($A154&gt;I$4,IF($A154&lt;=J$4,I$5+(J$5-I$5)*($A154-I$4)/(J$4-I$4),0),0)</f>
        <v>0</v>
      </c>
      <c r="K153">
        <f t="shared" ref="K153" si="492">IF($A154&gt;J$4,IF($A154&lt;=K$4,J$5+(K$5-J$5)*($A154-J$4)/(K$4-J$4),0),0)</f>
        <v>11.896890034331834</v>
      </c>
      <c r="L153">
        <f>IF($A154&gt;K$4,IF($A154&lt;=L$4,K$5+(L$5-K$5)*($A154-K$4)/(L$4-K$4),L$5),0)</f>
        <v>0</v>
      </c>
      <c r="M153" s="32">
        <f t="shared" si="414"/>
        <v>11.896890034331834</v>
      </c>
    </row>
    <row r="154" spans="1:13" ht="15.75" thickBot="1" x14ac:dyDescent="0.3">
      <c r="A154">
        <f>I139</f>
        <v>3.8345206189166432</v>
      </c>
      <c r="B154" t="s">
        <v>72</v>
      </c>
      <c r="C154">
        <f>IF($A154&lt;=C$4,C$6,0)</f>
        <v>0</v>
      </c>
      <c r="D154">
        <f>IF($A154&gt;C$4,IF($A154&lt;=D$4,C$6+(D$6-C$6)*($A154-C$4)/(D$4-C$4),0),0)</f>
        <v>0</v>
      </c>
      <c r="E154">
        <f t="shared" ref="E154" si="493">IF($A154&gt;D$4,IF($A154&lt;=E$4,D$6+(E$6-D$6)*($A154-D$4)/(E$4-D$4),0),0)</f>
        <v>0</v>
      </c>
      <c r="F154">
        <f t="shared" ref="F154" si="494">IF($A154&gt;E$4,IF($A154&lt;=F$4,E$6+(F$6-E$6)*($A154-E$4)/(F$4-E$4),0),0)</f>
        <v>0</v>
      </c>
      <c r="G154">
        <f t="shared" ref="G154" si="495">IF($A154&gt;F$4,IF($A154&lt;=G$4,F$6+(G$6-F$6)*($A154-F$4)/(G$4-F$4),0),0)</f>
        <v>0</v>
      </c>
      <c r="H154">
        <f t="shared" ref="H154" si="496">IF($A154&gt;G$4,IF($A154&lt;=H$4,G$6+(H$6-G$6)*($A154-G$4)/(H$4-G$4),0),0)</f>
        <v>0</v>
      </c>
      <c r="I154">
        <f t="shared" ref="I154" si="497">IF($A154&gt;H$4,IF($A154&lt;=I$4,H$6+(I$6-H$6)*($A154-H$4)/(I$4-H$4),0),0)</f>
        <v>0</v>
      </c>
      <c r="J154">
        <f t="shared" ref="J154" si="498">IF($A154&gt;I$4,IF($A154&lt;=J$4,I$6+(J$6-I$6)*($A154-I$4)/(J$4-I$4),0),0)</f>
        <v>0</v>
      </c>
      <c r="K154">
        <f t="shared" ref="K154" si="499">IF($A154&gt;J$4,IF($A154&lt;=K$4,J$6+(K$6-J$6)*($A154-J$4)/(K$4-J$4),0),0)</f>
        <v>6.4886340215427332</v>
      </c>
      <c r="L154">
        <f>IF($A154&gt;K$4,IF($A154&lt;=L$4,K$6+(L$6-K$6)*($A154-K$4)/(L$4-K$4),L$6),0)</f>
        <v>0</v>
      </c>
      <c r="M154" s="34">
        <f t="shared" si="414"/>
        <v>6.4886340215427332</v>
      </c>
    </row>
    <row r="155" spans="1:13" x14ac:dyDescent="0.25">
      <c r="A155" s="57" t="s">
        <v>87</v>
      </c>
      <c r="B155" t="s">
        <v>71</v>
      </c>
      <c r="C155">
        <f>IF($A156&lt;=C$4,C$5,0)</f>
        <v>0</v>
      </c>
      <c r="D155">
        <f>IF($A156&gt;C$4,IF($A156&lt;=D$4,C$5+(D$5-C$5)*($A156-C$4)/(D$4-C$4),0),0)</f>
        <v>0</v>
      </c>
      <c r="E155">
        <f>IF($A156&gt;D$4,IF($A156&lt;=E$4,D$5+(E$5-D$5)*($A156-D$4)/(E$4-D$4),0),0)</f>
        <v>0</v>
      </c>
      <c r="F155">
        <f t="shared" ref="F155" si="500">IF($A156&gt;E$4,IF($A156&lt;=F$4,E$5+(F$5-E$5)*($A156-E$4)/(F$4-E$4),0),0)</f>
        <v>0</v>
      </c>
      <c r="G155">
        <f t="shared" ref="G155" si="501">IF($A156&gt;F$4,IF($A156&lt;=G$4,F$5+(G$5-F$5)*($A156-F$4)/(G$4-F$4),0),0)</f>
        <v>0</v>
      </c>
      <c r="H155">
        <f t="shared" ref="H155" si="502">IF($A156&gt;G$4,IF($A156&lt;=H$4,G$5+(H$5-G$5)*($A156-G$4)/(H$4-G$4),0),0)</f>
        <v>0</v>
      </c>
      <c r="I155">
        <f t="shared" ref="I155" si="503">IF($A156&gt;H$4,IF($A156&lt;=I$4,H$5+(I$5-H$5)*($A156-H$4)/(I$4-H$4),0),0)</f>
        <v>0</v>
      </c>
      <c r="J155">
        <f t="shared" ref="J155" si="504">IF($A156&gt;I$4,IF($A156&lt;=J$4,I$5+(J$5-I$5)*($A156-I$4)/(J$4-I$4),0),0)</f>
        <v>0</v>
      </c>
      <c r="K155">
        <f t="shared" ref="K155" si="505">IF($A156&gt;J$4,IF($A156&lt;=K$4,J$5+(K$5-J$5)*($A156-J$4)/(K$4-J$4),0),0)</f>
        <v>11.810970059422374</v>
      </c>
      <c r="L155">
        <f>IF($A156&gt;K$4,IF($A156&lt;=L$4,K$5+(L$5-K$5)*($A156-K$4)/(L$4-K$4),L$5),0)</f>
        <v>0</v>
      </c>
      <c r="M155" s="32">
        <f t="shared" si="414"/>
        <v>11.810970059422374</v>
      </c>
    </row>
    <row r="156" spans="1:13" ht="15.75" thickBot="1" x14ac:dyDescent="0.3">
      <c r="A156">
        <f>J139</f>
        <v>4.788232340411664</v>
      </c>
      <c r="B156" t="s">
        <v>72</v>
      </c>
      <c r="C156">
        <f>IF($A156&lt;=C$4,C$6,0)</f>
        <v>0</v>
      </c>
      <c r="D156">
        <f>IF($A156&gt;C$4,IF($A156&lt;=D$4,C$6+(D$6-C$6)*($A156-C$4)/(D$4-C$4),0),0)</f>
        <v>0</v>
      </c>
      <c r="E156">
        <f t="shared" ref="E156" si="506">IF($A156&gt;D$4,IF($A156&lt;=E$4,D$6+(E$6-D$6)*($A156-D$4)/(E$4-D$4),0),0)</f>
        <v>0</v>
      </c>
      <c r="F156">
        <f t="shared" ref="F156" si="507">IF($A156&gt;E$4,IF($A156&lt;=F$4,E$6+(F$6-E$6)*($A156-E$4)/(F$4-E$4),0),0)</f>
        <v>0</v>
      </c>
      <c r="G156">
        <f t="shared" ref="G156" si="508">IF($A156&gt;F$4,IF($A156&lt;=G$4,F$6+(G$6-F$6)*($A156-F$4)/(G$4-F$4),0),0)</f>
        <v>0</v>
      </c>
      <c r="H156">
        <f t="shared" ref="H156" si="509">IF($A156&gt;G$4,IF($A156&lt;=H$4,G$6+(H$6-G$6)*($A156-G$4)/(H$4-G$4),0),0)</f>
        <v>0</v>
      </c>
      <c r="I156">
        <f t="shared" ref="I156" si="510">IF($A156&gt;H$4,IF($A156&lt;=I$4,H$6+(I$6-H$6)*($A156-H$4)/(I$4-H$4),0),0)</f>
        <v>0</v>
      </c>
      <c r="J156">
        <f t="shared" ref="J156" si="511">IF($A156&gt;I$4,IF($A156&lt;=J$4,I$6+(J$6-I$6)*($A156-I$4)/(J$4-I$4),0),0)</f>
        <v>0</v>
      </c>
      <c r="K156">
        <f t="shared" ref="K156" si="512">IF($A156&gt;J$4,IF($A156&lt;=K$4,J$6+(K$6-J$6)*($A156-J$4)/(K$4-J$4),0),0)</f>
        <v>8.9373533064623807</v>
      </c>
      <c r="L156">
        <f>IF($A156&gt;K$4,IF($A156&lt;=L$4,K$6+(L$6-K$6)*($A156-K$4)/(L$4-K$4),L$6),0)</f>
        <v>0</v>
      </c>
      <c r="M156" s="34">
        <f t="shared" si="414"/>
        <v>8.9373533064623807</v>
      </c>
    </row>
    <row r="157" spans="1:13" x14ac:dyDescent="0.25">
      <c r="A157" s="57" t="s">
        <v>88</v>
      </c>
      <c r="B157" t="s">
        <v>71</v>
      </c>
      <c r="C157">
        <f>IF($A158&lt;=C$4,C$5,0)</f>
        <v>0</v>
      </c>
      <c r="D157">
        <f>IF($A158&gt;C$4,IF($A158&lt;=D$4,C$5+(D$5-C$5)*($A158-C$4)/(D$4-C$4),0),0)</f>
        <v>0</v>
      </c>
      <c r="E157">
        <f>IF($A158&gt;D$4,IF($A158&lt;=E$4,D$5+(E$5-D$5)*($A158-D$4)/(E$4-D$4),0),0)</f>
        <v>0</v>
      </c>
      <c r="F157">
        <f t="shared" ref="F157" si="513">IF($A158&gt;E$4,IF($A158&lt;=F$4,E$5+(F$5-E$5)*($A158-E$4)/(F$4-E$4),0),0)</f>
        <v>0</v>
      </c>
      <c r="G157">
        <f t="shared" ref="G157" si="514">IF($A158&gt;F$4,IF($A158&lt;=G$4,F$5+(G$5-F$5)*($A158-F$4)/(G$4-F$4),0),0)</f>
        <v>0</v>
      </c>
      <c r="H157">
        <f t="shared" ref="H157" si="515">IF($A158&gt;G$4,IF($A158&lt;=H$4,G$5+(H$5-G$5)*($A158-G$4)/(H$4-G$4),0),0)</f>
        <v>0</v>
      </c>
      <c r="I157">
        <f t="shared" ref="I157" si="516">IF($A158&gt;H$4,IF($A158&lt;=I$4,H$5+(I$5-H$5)*($A158-H$4)/(I$4-H$4),0),0)</f>
        <v>0</v>
      </c>
      <c r="J157">
        <f t="shared" ref="J157" si="517">IF($A158&gt;I$4,IF($A158&lt;=J$4,I$5+(J$5-I$5)*($A158-I$4)/(J$4-I$4),0),0)</f>
        <v>0</v>
      </c>
      <c r="K157">
        <f t="shared" ref="K157" si="518">IF($A158&gt;J$4,IF($A158&lt;=K$4,J$5+(K$5-J$5)*($A158-J$4)/(K$4-J$4),0),0)</f>
        <v>0</v>
      </c>
      <c r="L157">
        <f>IF($A158&gt;K$4,IF($A158&lt;=L$4,K$5+(L$5-K$5)*($A158-K$4)/(L$4-K$4),L$5),0)</f>
        <v>11.760706390385442</v>
      </c>
      <c r="M157" s="32">
        <f t="shared" si="414"/>
        <v>11.760706390385442</v>
      </c>
    </row>
    <row r="158" spans="1:13" ht="15.75" thickBot="1" x14ac:dyDescent="0.3">
      <c r="A158">
        <f>K139</f>
        <v>6.0141504301691002</v>
      </c>
      <c r="B158" t="s">
        <v>72</v>
      </c>
      <c r="C158">
        <f>IF($A158&lt;=C$4,C$6,0)</f>
        <v>0</v>
      </c>
      <c r="D158">
        <f>IF($A158&gt;C$4,IF($A158&lt;=D$4,C$6+(D$6-C$6)*($A158-C$4)/(D$4-C$4),0),0)</f>
        <v>0</v>
      </c>
      <c r="E158">
        <f t="shared" ref="E158" si="519">IF($A158&gt;D$4,IF($A158&lt;=E$4,D$6+(E$6-D$6)*($A158-D$4)/(E$4-D$4),0),0)</f>
        <v>0</v>
      </c>
      <c r="F158">
        <f t="shared" ref="F158" si="520">IF($A158&gt;E$4,IF($A158&lt;=F$4,E$6+(F$6-E$6)*($A158-E$4)/(F$4-E$4),0),0)</f>
        <v>0</v>
      </c>
      <c r="G158">
        <f t="shared" ref="G158" si="521">IF($A158&gt;F$4,IF($A158&lt;=G$4,F$6+(G$6-F$6)*($A158-F$4)/(G$4-F$4),0),0)</f>
        <v>0</v>
      </c>
      <c r="H158">
        <f t="shared" ref="H158" si="522">IF($A158&gt;G$4,IF($A158&lt;=H$4,G$6+(H$6-G$6)*($A158-G$4)/(H$4-G$4),0),0)</f>
        <v>0</v>
      </c>
      <c r="I158">
        <f t="shared" ref="I158" si="523">IF($A158&gt;H$4,IF($A158&lt;=I$4,H$6+(I$6-H$6)*($A158-H$4)/(I$4-H$4),0),0)</f>
        <v>0</v>
      </c>
      <c r="J158">
        <f t="shared" ref="J158" si="524">IF($A158&gt;I$4,IF($A158&lt;=J$4,I$6+(J$6-I$6)*($A158-I$4)/(J$4-I$4),0),0)</f>
        <v>0</v>
      </c>
      <c r="K158">
        <f t="shared" ref="K158" si="525">IF($A158&gt;J$4,IF($A158&lt;=K$4,J$6+(K$6-J$6)*($A158-J$4)/(K$4-J$4),0),0)</f>
        <v>0</v>
      </c>
      <c r="L158">
        <f>IF($A158&gt;K$4,IF($A158&lt;=L$4,K$6+(L$6-K$6)*($A158-K$4)/(L$4-K$4),L$6),0)</f>
        <v>10.959272018233305</v>
      </c>
      <c r="M158" s="34">
        <f t="shared" si="414"/>
        <v>10.959272018233305</v>
      </c>
    </row>
    <row r="159" spans="1:13" x14ac:dyDescent="0.25">
      <c r="A159" s="57" t="s">
        <v>89</v>
      </c>
      <c r="B159" t="s">
        <v>71</v>
      </c>
      <c r="C159">
        <f>IF($A160&lt;=C$4,C$5,0)</f>
        <v>0</v>
      </c>
      <c r="D159">
        <f>IF($A160&gt;C$4,IF($A160&lt;=D$4,C$5+(D$5-C$5)*($A160-C$4)/(D$4-C$4),0),0)</f>
        <v>0</v>
      </c>
      <c r="E159">
        <f>IF($A160&gt;D$4,IF($A160&lt;=E$4,D$5+(E$5-D$5)*($A160-D$4)/(E$4-D$4),0),0)</f>
        <v>0</v>
      </c>
      <c r="F159">
        <f t="shared" ref="F159" si="526">IF($A160&gt;E$4,IF($A160&lt;=F$4,E$5+(F$5-E$5)*($A160-E$4)/(F$4-E$4),0),0)</f>
        <v>0</v>
      </c>
      <c r="G159">
        <f t="shared" ref="G159" si="527">IF($A160&gt;F$4,IF($A160&lt;=G$4,F$5+(G$5-F$5)*($A160-F$4)/(G$4-F$4),0),0)</f>
        <v>0</v>
      </c>
      <c r="H159">
        <f t="shared" ref="H159" si="528">IF($A160&gt;G$4,IF($A160&lt;=H$4,G$5+(H$5-G$5)*($A160-G$4)/(H$4-G$4),0),0)</f>
        <v>0</v>
      </c>
      <c r="I159">
        <f t="shared" ref="I159" si="529">IF($A160&gt;H$4,IF($A160&lt;=I$4,H$5+(I$5-H$5)*($A160-H$4)/(I$4-H$4),0),0)</f>
        <v>0</v>
      </c>
      <c r="J159">
        <f t="shared" ref="J159" si="530">IF($A160&gt;I$4,IF($A160&lt;=J$4,I$5+(J$5-I$5)*($A160-I$4)/(J$4-I$4),0),0)</f>
        <v>0</v>
      </c>
      <c r="K159">
        <f t="shared" ref="K159" si="531">IF($A160&gt;J$4,IF($A160&lt;=K$4,J$5+(K$5-J$5)*($A160-J$4)/(K$4-J$4),0),0)</f>
        <v>0</v>
      </c>
      <c r="L159">
        <f>IF($A160&gt;K$4,IF($A160&lt;=L$4,K$5+(L$5-K$5)*($A160-K$4)/(L$4-K$4),L$5),0)</f>
        <v>11.703735919542003</v>
      </c>
      <c r="M159" s="32">
        <f t="shared" si="414"/>
        <v>11.703735919542003</v>
      </c>
    </row>
    <row r="160" spans="1:13" ht="15.75" thickBot="1" x14ac:dyDescent="0.3">
      <c r="A160">
        <f>L139</f>
        <v>7.6150206608696864</v>
      </c>
      <c r="B160" t="s">
        <v>72</v>
      </c>
      <c r="C160">
        <f>IF($A160&lt;=C$4,C$6,0)</f>
        <v>0</v>
      </c>
      <c r="D160">
        <f>IF($A160&gt;C$4,IF($A160&lt;=D$4,C$6+(D$6-C$6)*($A160-C$4)/(D$4-C$4),0),0)</f>
        <v>0</v>
      </c>
      <c r="E160">
        <f t="shared" ref="E160" si="532">IF($A160&gt;D$4,IF($A160&lt;=E$4,D$6+(E$6-D$6)*($A160-D$4)/(E$4-D$4),0),0)</f>
        <v>0</v>
      </c>
      <c r="F160">
        <f t="shared" ref="F160" si="533">IF($A160&gt;E$4,IF($A160&lt;=F$4,E$6+(F$6-E$6)*($A160-E$4)/(F$4-E$4),0),0)</f>
        <v>0</v>
      </c>
      <c r="G160">
        <f t="shared" ref="G160" si="534">IF($A160&gt;F$4,IF($A160&lt;=G$4,F$6+(G$6-F$6)*($A160-F$4)/(G$4-F$4),0),0)</f>
        <v>0</v>
      </c>
      <c r="H160">
        <f t="shared" ref="H160" si="535">IF($A160&gt;G$4,IF($A160&lt;=H$4,G$6+(H$6-G$6)*($A160-G$4)/(H$4-G$4),0),0)</f>
        <v>0</v>
      </c>
      <c r="I160">
        <f t="shared" ref="I160" si="536">IF($A160&gt;H$4,IF($A160&lt;=I$4,H$6+(I$6-H$6)*($A160-H$4)/(I$4-H$4),0),0)</f>
        <v>0</v>
      </c>
      <c r="J160">
        <f t="shared" ref="J160" si="537">IF($A160&gt;I$4,IF($A160&lt;=J$4,I$6+(J$6-I$6)*($A160-I$4)/(J$4-I$4),0),0)</f>
        <v>0</v>
      </c>
      <c r="K160">
        <f t="shared" ref="K160" si="538">IF($A160&gt;J$4,IF($A160&lt;=K$4,J$6+(K$6-J$6)*($A160-J$4)/(K$4-J$4),0),0)</f>
        <v>0</v>
      </c>
      <c r="L160">
        <f>IF($A160&gt;K$4,IF($A160&lt;=L$4,K$6+(L$6-K$6)*($A160-K$4)/(L$4-K$4),L$6),0)</f>
        <v>13.437487499922824</v>
      </c>
      <c r="M160" s="34">
        <f t="shared" si="414"/>
        <v>13.437487499922824</v>
      </c>
    </row>
    <row r="162" spans="1:13" x14ac:dyDescent="0.25">
      <c r="B162" t="s">
        <v>90</v>
      </c>
    </row>
    <row r="163" spans="1:13" ht="15.75" thickBot="1" x14ac:dyDescent="0.3">
      <c r="C163" s="25">
        <v>1</v>
      </c>
      <c r="D163" s="25">
        <v>2</v>
      </c>
      <c r="E163" s="25">
        <v>3</v>
      </c>
      <c r="F163" s="25">
        <v>4</v>
      </c>
      <c r="G163" s="25">
        <v>5</v>
      </c>
      <c r="H163" s="25">
        <v>6</v>
      </c>
      <c r="I163" s="25">
        <v>7</v>
      </c>
      <c r="J163" s="25">
        <v>8</v>
      </c>
      <c r="K163" s="25">
        <v>9</v>
      </c>
      <c r="L163" s="25">
        <v>10</v>
      </c>
    </row>
    <row r="164" spans="1:13" x14ac:dyDescent="0.25">
      <c r="B164" t="s">
        <v>71</v>
      </c>
      <c r="C164" s="58">
        <f>M141</f>
        <v>12.4</v>
      </c>
      <c r="D164" s="59">
        <f>M143</f>
        <v>12.286976788139818</v>
      </c>
      <c r="E164" s="59">
        <f>M145</f>
        <v>12.162654992259549</v>
      </c>
      <c r="F164" s="59">
        <f>M147</f>
        <v>12.054932338022541</v>
      </c>
      <c r="G164" s="59">
        <f>M149</f>
        <v>12</v>
      </c>
      <c r="H164" s="59">
        <f>M151</f>
        <v>11.972886437403082</v>
      </c>
      <c r="I164" s="59">
        <f>M153</f>
        <v>11.896890034331834</v>
      </c>
      <c r="J164" s="59">
        <f>M155</f>
        <v>11.810970059422374</v>
      </c>
      <c r="K164" s="59">
        <f>M157</f>
        <v>11.760706390385442</v>
      </c>
      <c r="L164" s="60">
        <f>M159</f>
        <v>11.703735919542003</v>
      </c>
    </row>
    <row r="165" spans="1:13" ht="15.75" thickBot="1" x14ac:dyDescent="0.3">
      <c r="B165" t="s">
        <v>72</v>
      </c>
      <c r="C165" s="52">
        <f>M142</f>
        <v>3.4610558203365343</v>
      </c>
      <c r="D165" s="53">
        <f t="shared" ref="D165" si="539">M144</f>
        <v>3.7260464237203657</v>
      </c>
      <c r="E165" s="53">
        <f>M146</f>
        <v>3.9746900154809017</v>
      </c>
      <c r="F165" s="53">
        <f>M148</f>
        <v>4.2802706479098385</v>
      </c>
      <c r="G165" s="53">
        <f>M150</f>
        <v>4.8836879961883861</v>
      </c>
      <c r="H165" s="53">
        <f>M152</f>
        <v>5.6711356259691819</v>
      </c>
      <c r="I165" s="53">
        <f>M154</f>
        <v>6.4886340215427332</v>
      </c>
      <c r="J165" s="53">
        <f>M156</f>
        <v>8.9373533064623807</v>
      </c>
      <c r="K165" s="53">
        <f>M158</f>
        <v>10.959272018233305</v>
      </c>
      <c r="L165" s="54">
        <f>M160</f>
        <v>13.437487499922824</v>
      </c>
    </row>
    <row r="166" spans="1:13" x14ac:dyDescent="0.25">
      <c r="B166" t="s">
        <v>161</v>
      </c>
      <c r="C166">
        <f>100-C164-C165</f>
        <v>84.138944179663454</v>
      </c>
      <c r="D166">
        <f t="shared" ref="D166" si="540">100-D164-D165</f>
        <v>83.986976788139827</v>
      </c>
      <c r="E166">
        <f t="shared" ref="E166" si="541">100-E164-E165</f>
        <v>83.86265499225955</v>
      </c>
      <c r="F166">
        <f t="shared" ref="F166" si="542">100-F164-F165</f>
        <v>83.664797014067616</v>
      </c>
      <c r="G166">
        <f t="shared" ref="G166" si="543">100-G164-G165</f>
        <v>83.116312003811615</v>
      </c>
      <c r="H166">
        <f t="shared" ref="H166" si="544">100-H164-H165</f>
        <v>82.355977936627738</v>
      </c>
      <c r="I166">
        <f t="shared" ref="I166" si="545">100-I164-I165</f>
        <v>81.614475944125431</v>
      </c>
      <c r="J166">
        <f t="shared" ref="J166" si="546">100-J164-J165</f>
        <v>79.251676634115242</v>
      </c>
      <c r="K166">
        <f t="shared" ref="K166" si="547">100-K164-K165</f>
        <v>77.280021591381256</v>
      </c>
      <c r="L166">
        <f t="shared" ref="L166" si="548">100-L164-L165</f>
        <v>74.858776580535178</v>
      </c>
    </row>
    <row r="170" spans="1:13" ht="18.75" x14ac:dyDescent="0.3">
      <c r="B170" s="56">
        <v>2021</v>
      </c>
    </row>
    <row r="171" spans="1:13" x14ac:dyDescent="0.25">
      <c r="C171" s="25">
        <v>1</v>
      </c>
      <c r="D171" s="25">
        <v>2</v>
      </c>
      <c r="E171" s="25">
        <v>3</v>
      </c>
      <c r="F171" s="25">
        <v>4</v>
      </c>
      <c r="G171" s="25">
        <v>5</v>
      </c>
      <c r="H171" s="25">
        <v>6</v>
      </c>
      <c r="I171" s="25">
        <v>7</v>
      </c>
      <c r="J171" s="25">
        <v>8</v>
      </c>
      <c r="K171" s="25">
        <v>9</v>
      </c>
      <c r="L171" s="25">
        <v>10</v>
      </c>
    </row>
    <row r="172" spans="1:13" x14ac:dyDescent="0.25">
      <c r="B172" t="s">
        <v>79</v>
      </c>
      <c r="C172" s="8">
        <f>INDEX(decdoh2021,'матрица расходов'!C171)/расслоение!$M$214</f>
        <v>0.75545643196216117</v>
      </c>
      <c r="D172" s="8">
        <f>INDEX(decdoh2021,'матрица расходов'!D171)/расслоение!$M$214</f>
        <v>1.0714626104752445</v>
      </c>
      <c r="E172" s="8">
        <f>INDEX(decdoh2021,'матрица расходов'!E171)/расслоение!$M$214</f>
        <v>1.4247121755753489</v>
      </c>
      <c r="F172" s="8">
        <f>INDEX(decdoh2021,'матрица расходов'!F171)/расслоение!$M$214</f>
        <v>1.8292628458844054</v>
      </c>
      <c r="G172" s="8">
        <f>INDEX(decdoh2021,'матрица расходов'!G171)/расслоение!$M$214</f>
        <v>2.3044785022980592</v>
      </c>
      <c r="H172" s="8">
        <f>INDEX(decdoh2021,'матрица расходов'!H171)/расслоение!$M$214</f>
        <v>2.8770320277658779</v>
      </c>
      <c r="I172" s="8">
        <f>INDEX(decdoh2021,'матрица расходов'!I171)/расслоение!$M$214</f>
        <v>3.5836641298286378</v>
      </c>
      <c r="J172" s="8">
        <f>INDEX(decdoh2021,'матрица расходов'!J171)/расслоение!$M$214</f>
        <v>4.4749834957118351</v>
      </c>
      <c r="K172" s="8">
        <f>INDEX(decdoh2021,'матрица расходов'!K171)/расслоение!$M$214</f>
        <v>5.6207013366066345</v>
      </c>
      <c r="L172" s="8">
        <f>INDEX(decdoh2021,'матрица расходов'!L171)/расслоение!$M$214</f>
        <v>7.116841739130547</v>
      </c>
    </row>
    <row r="173" spans="1:13" ht="15.75" thickBot="1" x14ac:dyDescent="0.3"/>
    <row r="174" spans="1:13" x14ac:dyDescent="0.25">
      <c r="A174" s="57" t="s">
        <v>80</v>
      </c>
      <c r="B174" t="s">
        <v>71</v>
      </c>
      <c r="C174">
        <f>IF($A175&lt;=C$4,C$5,0)</f>
        <v>0</v>
      </c>
      <c r="D174">
        <f>IF($A175&gt;C$4,IF($A175&lt;=D$4,C$5+(D$5-C$5)*($A175-C$4)/(D$4-C$4),0),0)</f>
        <v>12.4</v>
      </c>
      <c r="E174">
        <f>IF($A175&gt;D$4,IF($A175&lt;=E$4,D$5+(E$5-D$5)*($A175-D$4)/(E$4-D$4),0),0)</f>
        <v>0</v>
      </c>
      <c r="F174">
        <f t="shared" ref="F174" si="549">IF($A175&gt;E$4,IF($A175&lt;=F$4,E$5+(F$5-E$5)*($A175-E$4)/(F$4-E$4),0),0)</f>
        <v>0</v>
      </c>
      <c r="G174">
        <f t="shared" ref="G174" si="550">IF($A175&gt;F$4,IF($A175&lt;=G$4,F$5+(G$5-F$5)*($A175-F$4)/(G$4-F$4),0),0)</f>
        <v>0</v>
      </c>
      <c r="H174">
        <f t="shared" ref="H174" si="551">IF($A175&gt;G$4,IF($A175&lt;=H$4,G$5+(H$5-G$5)*($A175-G$4)/(H$4-G$4),0),0)</f>
        <v>0</v>
      </c>
      <c r="I174">
        <f t="shared" ref="I174" si="552">IF($A175&gt;H$4,IF($A175&lt;=I$4,H$5+(I$5-H$5)*($A175-H$4)/(I$4-H$4),0),0)</f>
        <v>0</v>
      </c>
      <c r="J174">
        <f t="shared" ref="J174" si="553">IF($A175&gt;I$4,IF($A175&lt;=J$4,I$5+(J$5-I$5)*($A175-I$4)/(J$4-I$4),0),0)</f>
        <v>0</v>
      </c>
      <c r="K174">
        <f t="shared" ref="K174" si="554">IF($A175&gt;J$4,IF($A175&lt;=K$4,J$5+(K$5-J$5)*($A175-J$4)/(K$4-J$4),0),0)</f>
        <v>0</v>
      </c>
      <c r="L174">
        <f>IF($A175&gt;K$4,IF($A175&lt;=L$4,K$5+(L$5-K$5)*($A175-K$4)/(L$4-K$4),L$5),0)</f>
        <v>0</v>
      </c>
      <c r="M174" s="32">
        <f t="shared" ref="M174:M193" si="555">SUM(C174:L174)</f>
        <v>12.4</v>
      </c>
    </row>
    <row r="175" spans="1:13" ht="15.75" thickBot="1" x14ac:dyDescent="0.3">
      <c r="A175">
        <f>C172</f>
        <v>0.75545643196216117</v>
      </c>
      <c r="B175" t="s">
        <v>72</v>
      </c>
      <c r="C175">
        <f>IF($A175&lt;=C$4,C$6,0)</f>
        <v>0</v>
      </c>
      <c r="D175">
        <f>IF($A175&gt;C$4,IF($A175&lt;=D$4,C$6+(D$6-C$6)*($A175-C$4)/(D$4-C$4),0),0)</f>
        <v>3.4276566938708388</v>
      </c>
      <c r="E175">
        <f t="shared" ref="E175" si="556">IF($A175&gt;D$4,IF($A175&lt;=E$4,D$6+(E$6-D$6)*($A175-D$4)/(E$4-D$4),0),0)</f>
        <v>0</v>
      </c>
      <c r="F175">
        <f t="shared" ref="F175" si="557">IF($A175&gt;E$4,IF($A175&lt;=F$4,E$6+(F$6-E$6)*($A175-E$4)/(F$4-E$4),0),0)</f>
        <v>0</v>
      </c>
      <c r="G175">
        <f t="shared" ref="G175" si="558">IF($A175&gt;F$4,IF($A175&lt;=G$4,F$6+(G$6-F$6)*($A175-F$4)/(G$4-F$4),0),0)</f>
        <v>0</v>
      </c>
      <c r="H175">
        <f t="shared" ref="H175" si="559">IF($A175&gt;G$4,IF($A175&lt;=H$4,G$6+(H$6-G$6)*($A175-G$4)/(H$4-G$4),0),0)</f>
        <v>0</v>
      </c>
      <c r="I175">
        <f t="shared" ref="I175" si="560">IF($A175&gt;H$4,IF($A175&lt;=I$4,H$6+(I$6-H$6)*($A175-H$4)/(I$4-H$4),0),0)</f>
        <v>0</v>
      </c>
      <c r="J175">
        <f t="shared" ref="J175" si="561">IF($A175&gt;I$4,IF($A175&lt;=J$4,I$6+(J$6-I$6)*($A175-I$4)/(J$4-I$4),0),0)</f>
        <v>0</v>
      </c>
      <c r="K175">
        <f t="shared" ref="K175" si="562">IF($A175&gt;J$4,IF($A175&lt;=K$4,J$6+(K$6-J$6)*($A175-J$4)/(K$4-J$4),0),0)</f>
        <v>0</v>
      </c>
      <c r="L175">
        <f>IF($A175&gt;K$4,IF($A175&lt;=L$4,K$6+(L$6-K$6)*($A175-K$4)/(L$4-K$4),L$6),0)</f>
        <v>0</v>
      </c>
      <c r="M175" s="34">
        <f t="shared" si="555"/>
        <v>3.4276566938708388</v>
      </c>
    </row>
    <row r="176" spans="1:13" x14ac:dyDescent="0.25">
      <c r="A176" s="57" t="s">
        <v>81</v>
      </c>
      <c r="B176" t="s">
        <v>71</v>
      </c>
      <c r="C176">
        <f>IF($A177&lt;=C$4,C$5,0)</f>
        <v>0</v>
      </c>
      <c r="D176">
        <f>IF($A177&gt;C$4,IF($A177&lt;=D$4,C$5+(D$5-C$5)*($A177-C$4)/(D$4-C$4),0),0)</f>
        <v>0</v>
      </c>
      <c r="E176">
        <f>IF($A177&gt;D$4,IF($A177&lt;=E$4,D$5+(E$5-D$5)*($A177-D$4)/(E$4-D$4),0),0)</f>
        <v>12.316057245635315</v>
      </c>
      <c r="F176">
        <f t="shared" ref="F176" si="563">IF($A177&gt;E$4,IF($A177&lt;=F$4,E$5+(F$5-E$5)*($A177-E$4)/(F$4-E$4),0),0)</f>
        <v>0</v>
      </c>
      <c r="G176">
        <f t="shared" ref="G176" si="564">IF($A177&gt;F$4,IF($A177&lt;=G$4,F$5+(G$5-F$5)*($A177-F$4)/(G$4-F$4),0),0)</f>
        <v>0</v>
      </c>
      <c r="H176">
        <f t="shared" ref="H176" si="565">IF($A177&gt;G$4,IF($A177&lt;=H$4,G$5+(H$5-G$5)*($A177-G$4)/(H$4-G$4),0),0)</f>
        <v>0</v>
      </c>
      <c r="I176">
        <f t="shared" ref="I176" si="566">IF($A177&gt;H$4,IF($A177&lt;=I$4,H$5+(I$5-H$5)*($A177-H$4)/(I$4-H$4),0),0)</f>
        <v>0</v>
      </c>
      <c r="J176">
        <f t="shared" ref="J176" si="567">IF($A177&gt;I$4,IF($A177&lt;=J$4,I$5+(J$5-I$5)*($A177-I$4)/(J$4-I$4),0),0)</f>
        <v>0</v>
      </c>
      <c r="K176">
        <f t="shared" ref="K176" si="568">IF($A177&gt;J$4,IF($A177&lt;=K$4,J$5+(K$5-J$5)*($A177-J$4)/(K$4-J$4),0),0)</f>
        <v>0</v>
      </c>
      <c r="L176">
        <f>IF($A177&gt;K$4,IF($A177&lt;=L$4,K$5+(L$5-K$5)*($A177-K$4)/(L$4-K$4),L$5),0)</f>
        <v>0</v>
      </c>
      <c r="M176" s="32">
        <f t="shared" si="555"/>
        <v>12.316057245635315</v>
      </c>
    </row>
    <row r="177" spans="1:13" ht="15.75" thickBot="1" x14ac:dyDescent="0.3">
      <c r="A177">
        <f>D172</f>
        <v>1.0714626104752445</v>
      </c>
      <c r="B177" t="s">
        <v>72</v>
      </c>
      <c r="C177">
        <f>IF($A177&lt;=C$4,C$6,0)</f>
        <v>0</v>
      </c>
      <c r="D177">
        <f>IF($A177&gt;C$4,IF($A177&lt;=D$4,C$6+(D$6-C$6)*($A177-C$4)/(D$4-C$4),0),0)</f>
        <v>0</v>
      </c>
      <c r="E177">
        <f t="shared" ref="E177" si="569">IF($A177&gt;D$4,IF($A177&lt;=E$4,D$6+(E$6-D$6)*($A177-D$4)/(E$4-D$4),0),0)</f>
        <v>3.6678855087293707</v>
      </c>
      <c r="F177">
        <f t="shared" ref="F177" si="570">IF($A177&gt;E$4,IF($A177&lt;=F$4,E$6+(F$6-E$6)*($A177-E$4)/(F$4-E$4),0),0)</f>
        <v>0</v>
      </c>
      <c r="G177">
        <f t="shared" ref="G177" si="571">IF($A177&gt;F$4,IF($A177&lt;=G$4,F$6+(G$6-F$6)*($A177-F$4)/(G$4-F$4),0),0)</f>
        <v>0</v>
      </c>
      <c r="H177">
        <f t="shared" ref="H177" si="572">IF($A177&gt;G$4,IF($A177&lt;=H$4,G$6+(H$6-G$6)*($A177-G$4)/(H$4-G$4),0),0)</f>
        <v>0</v>
      </c>
      <c r="I177">
        <f t="shared" ref="I177" si="573">IF($A177&gt;H$4,IF($A177&lt;=I$4,H$6+(I$6-H$6)*($A177-H$4)/(I$4-H$4),0),0)</f>
        <v>0</v>
      </c>
      <c r="J177">
        <f t="shared" ref="J177" si="574">IF($A177&gt;I$4,IF($A177&lt;=J$4,I$6+(J$6-I$6)*($A177-I$4)/(J$4-I$4),0),0)</f>
        <v>0</v>
      </c>
      <c r="K177">
        <f t="shared" ref="K177" si="575">IF($A177&gt;J$4,IF($A177&lt;=K$4,J$6+(K$6-J$6)*($A177-J$4)/(K$4-J$4),0),0)</f>
        <v>0</v>
      </c>
      <c r="L177">
        <f>IF($A177&gt;K$4,IF($A177&lt;=L$4,K$6+(L$6-K$6)*($A177-K$4)/(L$4-K$4),L$6),0)</f>
        <v>0</v>
      </c>
      <c r="M177" s="34">
        <f t="shared" si="555"/>
        <v>3.6678855087293707</v>
      </c>
    </row>
    <row r="178" spans="1:13" x14ac:dyDescent="0.25">
      <c r="A178" s="57" t="s">
        <v>82</v>
      </c>
      <c r="B178" t="s">
        <v>71</v>
      </c>
      <c r="C178">
        <f>IF($A179&lt;=C$4,C$5,0)</f>
        <v>0</v>
      </c>
      <c r="D178">
        <f>IF($A179&gt;C$4,IF($A179&lt;=D$4,C$5+(D$5-C$5)*($A179-C$4)/(D$4-C$4),0),0)</f>
        <v>0</v>
      </c>
      <c r="E178">
        <f>IF($A179&gt;D$4,IF($A179&lt;=E$4,D$5+(E$5-D$5)*($A179-D$4)/(E$4-D$4),0),0)</f>
        <v>0</v>
      </c>
      <c r="F178">
        <f t="shared" ref="F178" si="576">IF($A179&gt;E$4,IF($A179&lt;=F$4,E$5+(F$5-E$5)*($A179-E$4)/(F$4-E$4),0),0)</f>
        <v>0</v>
      </c>
      <c r="G178">
        <f t="shared" ref="G178" si="577">IF($A179&gt;F$4,IF($A179&lt;=G$4,F$5+(G$5-F$5)*($A179-F$4)/(G$4-F$4),0),0)</f>
        <v>12.190357729006847</v>
      </c>
      <c r="H178">
        <f t="shared" ref="H178" si="578">IF($A179&gt;G$4,IF($A179&lt;=H$4,G$5+(H$5-G$5)*($A179-G$4)/(H$4-G$4),0),0)</f>
        <v>0</v>
      </c>
      <c r="I178">
        <f t="shared" ref="I178" si="579">IF($A179&gt;H$4,IF($A179&lt;=I$4,H$5+(I$5-H$5)*($A179-H$4)/(I$4-H$4),0),0)</f>
        <v>0</v>
      </c>
      <c r="J178">
        <f t="shared" ref="J178" si="580">IF($A179&gt;I$4,IF($A179&lt;=J$4,I$5+(J$5-I$5)*($A179-I$4)/(J$4-I$4),0),0)</f>
        <v>0</v>
      </c>
      <c r="K178">
        <f t="shared" ref="K178" si="581">IF($A179&gt;J$4,IF($A179&lt;=K$4,J$5+(K$5-J$5)*($A179-J$4)/(K$4-J$4),0),0)</f>
        <v>0</v>
      </c>
      <c r="L178">
        <f>IF($A179&gt;K$4,IF($A179&lt;=L$4,K$5+(L$5-K$5)*($A179-K$4)/(L$4-K$4),L$5),0)</f>
        <v>0</v>
      </c>
      <c r="M178" s="32">
        <f t="shared" si="555"/>
        <v>12.190357729006847</v>
      </c>
    </row>
    <row r="179" spans="1:13" ht="15.75" thickBot="1" x14ac:dyDescent="0.3">
      <c r="A179">
        <f>E172</f>
        <v>1.4247121755753489</v>
      </c>
      <c r="B179" t="s">
        <v>72</v>
      </c>
      <c r="C179">
        <f>IF($A179&lt;=C$4,C$6,0)</f>
        <v>0</v>
      </c>
      <c r="D179">
        <f>IF($A179&gt;C$4,IF($A179&lt;=D$4,C$6+(D$6-C$6)*($A179-C$4)/(D$4-C$4),0),0)</f>
        <v>0</v>
      </c>
      <c r="E179">
        <f t="shared" ref="E179" si="582">IF($A179&gt;D$4,IF($A179&lt;=E$4,D$6+(E$6-D$6)*($A179-D$4)/(E$4-D$4),0),0)</f>
        <v>0</v>
      </c>
      <c r="F179">
        <f t="shared" ref="F179" si="583">IF($A179&gt;E$4,IF($A179&lt;=F$4,E$6+(F$6-E$6)*($A179-E$4)/(F$4-E$4),0),0)</f>
        <v>0</v>
      </c>
      <c r="G179">
        <f t="shared" ref="G179" si="584">IF($A179&gt;F$4,IF($A179&lt;=G$4,F$6+(G$6-F$6)*($A179-F$4)/(G$4-F$4),0),0)</f>
        <v>3.9192845419863049</v>
      </c>
      <c r="H179">
        <f t="shared" ref="H179" si="585">IF($A179&gt;G$4,IF($A179&lt;=H$4,G$6+(H$6-G$6)*($A179-G$4)/(H$4-G$4),0),0)</f>
        <v>0</v>
      </c>
      <c r="I179">
        <f t="shared" ref="I179" si="586">IF($A179&gt;H$4,IF($A179&lt;=I$4,H$6+(I$6-H$6)*($A179-H$4)/(I$4-H$4),0),0)</f>
        <v>0</v>
      </c>
      <c r="J179">
        <f t="shared" ref="J179" si="587">IF($A179&gt;I$4,IF($A179&lt;=J$4,I$6+(J$6-I$6)*($A179-I$4)/(J$4-I$4),0),0)</f>
        <v>0</v>
      </c>
      <c r="K179">
        <f t="shared" ref="K179" si="588">IF($A179&gt;J$4,IF($A179&lt;=K$4,J$6+(K$6-J$6)*($A179-J$4)/(K$4-J$4),0),0)</f>
        <v>0</v>
      </c>
      <c r="L179">
        <f>IF($A179&gt;K$4,IF($A179&lt;=L$4,K$6+(L$6-K$6)*($A179-K$4)/(L$4-K$4),L$6),0)</f>
        <v>0</v>
      </c>
      <c r="M179" s="34">
        <f t="shared" si="555"/>
        <v>3.9192845419863049</v>
      </c>
    </row>
    <row r="180" spans="1:13" x14ac:dyDescent="0.25">
      <c r="A180" s="57" t="s">
        <v>83</v>
      </c>
      <c r="B180" t="s">
        <v>71</v>
      </c>
      <c r="C180">
        <f>IF($A181&lt;=C$4,C$5,0)</f>
        <v>0</v>
      </c>
      <c r="D180">
        <f>IF($A181&gt;C$4,IF($A181&lt;=D$4,C$5+(D$5-C$5)*($A181-C$4)/(D$4-C$4),0),0)</f>
        <v>0</v>
      </c>
      <c r="E180">
        <f>IF($A181&gt;D$4,IF($A181&lt;=E$4,D$5+(E$5-D$5)*($A181-D$4)/(E$4-D$4),0),0)</f>
        <v>0</v>
      </c>
      <c r="F180">
        <f t="shared" ref="F180" si="589">IF($A181&gt;E$4,IF($A181&lt;=F$4,E$5+(F$5-E$5)*($A181-E$4)/(F$4-E$4),0),0)</f>
        <v>0</v>
      </c>
      <c r="G180">
        <f t="shared" ref="G180" si="590">IF($A181&gt;F$4,IF($A181&lt;=G$4,F$5+(G$5-F$5)*($A181-F$4)/(G$4-F$4),0),0)</f>
        <v>0</v>
      </c>
      <c r="H180">
        <f t="shared" ref="H180" si="591">IF($A181&gt;G$4,IF($A181&lt;=H$4,G$5+(H$5-G$5)*($A181-G$4)/(H$4-G$4),0),0)</f>
        <v>12.082768946546867</v>
      </c>
      <c r="I180">
        <f t="shared" ref="I180" si="592">IF($A181&gt;H$4,IF($A181&lt;=I$4,H$5+(I$5-H$5)*($A181-H$4)/(I$4-H$4),0),0)</f>
        <v>0</v>
      </c>
      <c r="J180">
        <f t="shared" ref="J180" si="593">IF($A181&gt;I$4,IF($A181&lt;=J$4,I$5+(J$5-I$5)*($A181-I$4)/(J$4-I$4),0),0)</f>
        <v>0</v>
      </c>
      <c r="K180">
        <f t="shared" ref="K180" si="594">IF($A181&gt;J$4,IF($A181&lt;=K$4,J$5+(K$5-J$5)*($A181-J$4)/(K$4-J$4),0),0)</f>
        <v>0</v>
      </c>
      <c r="L180">
        <f>IF($A181&gt;K$4,IF($A181&lt;=L$4,K$5+(L$5-K$5)*($A181-K$4)/(L$4-K$4),L$5),0)</f>
        <v>0</v>
      </c>
      <c r="M180" s="32">
        <f t="shared" si="555"/>
        <v>12.082768946546867</v>
      </c>
    </row>
    <row r="181" spans="1:13" ht="15.75" thickBot="1" x14ac:dyDescent="0.3">
      <c r="A181">
        <f>F172</f>
        <v>1.8292628458844054</v>
      </c>
      <c r="B181" t="s">
        <v>72</v>
      </c>
      <c r="C181">
        <f>IF($A181&lt;=C$4,C$6,0)</f>
        <v>0</v>
      </c>
      <c r="D181">
        <f>IF($A181&gt;C$4,IF($A181&lt;=D$4,C$6+(D$6-C$6)*($A181-C$4)/(D$4-C$4),0),0)</f>
        <v>0</v>
      </c>
      <c r="E181">
        <f t="shared" ref="E181" si="595">IF($A181&gt;D$4,IF($A181&lt;=E$4,D$6+(E$6-D$6)*($A181-D$4)/(E$4-D$4),0),0)</f>
        <v>0</v>
      </c>
      <c r="F181">
        <f t="shared" ref="F181" si="596">IF($A181&gt;E$4,IF($A181&lt;=F$4,E$6+(F$6-E$6)*($A181-E$4)/(F$4-E$4),0),0)</f>
        <v>0</v>
      </c>
      <c r="G181">
        <f t="shared" ref="G181" si="597">IF($A181&gt;F$4,IF($A181&lt;=G$4,F$6+(G$6-F$6)*($A181-F$4)/(G$4-F$4),0),0)</f>
        <v>0</v>
      </c>
      <c r="H181">
        <f t="shared" ref="H181" si="598">IF($A181&gt;G$4,IF($A181&lt;=H$4,G$6+(H$6-G$6)*($A181-G$4)/(H$4-G$4),0),0)</f>
        <v>4.1689242138125264</v>
      </c>
      <c r="I181">
        <f t="shared" ref="I181" si="599">IF($A181&gt;H$4,IF($A181&lt;=I$4,H$6+(I$6-H$6)*($A181-H$4)/(I$4-H$4),0),0)</f>
        <v>0</v>
      </c>
      <c r="J181">
        <f t="shared" ref="J181" si="600">IF($A181&gt;I$4,IF($A181&lt;=J$4,I$6+(J$6-I$6)*($A181-I$4)/(J$4-I$4),0),0)</f>
        <v>0</v>
      </c>
      <c r="K181">
        <f t="shared" ref="K181" si="601">IF($A181&gt;J$4,IF($A181&lt;=K$4,J$6+(K$6-J$6)*($A181-J$4)/(K$4-J$4),0),0)</f>
        <v>0</v>
      </c>
      <c r="L181">
        <f>IF($A181&gt;K$4,IF($A181&lt;=L$4,K$6+(L$6-K$6)*($A181-K$4)/(L$4-K$4),L$6),0)</f>
        <v>0</v>
      </c>
      <c r="M181" s="34">
        <f t="shared" si="555"/>
        <v>4.1689242138125264</v>
      </c>
    </row>
    <row r="182" spans="1:13" x14ac:dyDescent="0.25">
      <c r="A182" s="57" t="s">
        <v>84</v>
      </c>
      <c r="B182" t="s">
        <v>71</v>
      </c>
      <c r="C182">
        <f>IF($A183&lt;=C$4,C$5,0)</f>
        <v>0</v>
      </c>
      <c r="D182">
        <f>IF($A183&gt;C$4,IF($A183&lt;=D$4,C$5+(D$5-C$5)*($A183-C$4)/(D$4-C$4),0),0)</f>
        <v>0</v>
      </c>
      <c r="E182">
        <f>IF($A183&gt;D$4,IF($A183&lt;=E$4,D$5+(E$5-D$5)*($A183-D$4)/(E$4-D$4),0),0)</f>
        <v>0</v>
      </c>
      <c r="F182">
        <f t="shared" ref="F182" si="602">IF($A183&gt;E$4,IF($A183&lt;=F$4,E$5+(F$5-E$5)*($A183-E$4)/(F$4-E$4),0),0)</f>
        <v>0</v>
      </c>
      <c r="G182">
        <f t="shared" ref="G182" si="603">IF($A183&gt;F$4,IF($A183&lt;=G$4,F$5+(G$5-F$5)*($A183-F$4)/(G$4-F$4),0),0)</f>
        <v>0</v>
      </c>
      <c r="H182">
        <f t="shared" ref="H182" si="604">IF($A183&gt;G$4,IF($A183&lt;=H$4,G$5+(H$5-G$5)*($A183-G$4)/(H$4-G$4),0),0)</f>
        <v>0</v>
      </c>
      <c r="I182">
        <f t="shared" ref="I182" si="605">IF($A183&gt;H$4,IF($A183&lt;=I$4,H$5+(I$5-H$5)*($A183-H$4)/(I$4-H$4),0),0)</f>
        <v>12</v>
      </c>
      <c r="J182">
        <f t="shared" ref="J182" si="606">IF($A183&gt;I$4,IF($A183&lt;=J$4,I$5+(J$5-I$5)*($A183-I$4)/(J$4-I$4),0),0)</f>
        <v>0</v>
      </c>
      <c r="K182">
        <f t="shared" ref="K182" si="607">IF($A183&gt;J$4,IF($A183&lt;=K$4,J$5+(K$5-J$5)*($A183-J$4)/(K$4-J$4),0),0)</f>
        <v>0</v>
      </c>
      <c r="L182">
        <f>IF($A183&gt;K$4,IF($A183&lt;=L$4,K$5+(L$5-K$5)*($A183-K$4)/(L$4-K$4),L$5),0)</f>
        <v>0</v>
      </c>
      <c r="M182" s="32">
        <f t="shared" si="555"/>
        <v>12</v>
      </c>
    </row>
    <row r="183" spans="1:13" ht="15.75" thickBot="1" x14ac:dyDescent="0.3">
      <c r="A183">
        <f>G172</f>
        <v>2.3044785022980592</v>
      </c>
      <c r="B183" t="s">
        <v>72</v>
      </c>
      <c r="C183">
        <f>IF($A183&lt;=C$4,C$6,0)</f>
        <v>0</v>
      </c>
      <c r="D183">
        <f>IF($A183&gt;C$4,IF($A183&lt;=D$4,C$6+(D$6-C$6)*($A183-C$4)/(D$4-C$4),0),0)</f>
        <v>0</v>
      </c>
      <c r="E183">
        <f t="shared" ref="E183" si="608">IF($A183&gt;D$4,IF($A183&lt;=E$4,D$6+(E$6-D$6)*($A183-D$4)/(E$4-D$4),0),0)</f>
        <v>0</v>
      </c>
      <c r="F183">
        <f t="shared" ref="F183" si="609">IF($A183&gt;E$4,IF($A183&lt;=F$4,E$6+(F$6-E$6)*($A183-E$4)/(F$4-E$4),0),0)</f>
        <v>0</v>
      </c>
      <c r="G183">
        <f t="shared" ref="G183" si="610">IF($A183&gt;F$4,IF($A183&lt;=G$4,F$6+(G$6-F$6)*($A183-F$4)/(G$4-F$4),0),0)</f>
        <v>0</v>
      </c>
      <c r="H183">
        <f t="shared" ref="H183" si="611">IF($A183&gt;G$4,IF($A183&lt;=H$4,G$6+(H$6-G$6)*($A183-G$4)/(H$4-G$4),0),0)</f>
        <v>0</v>
      </c>
      <c r="I183">
        <f t="shared" ref="I183" si="612">IF($A183&gt;H$4,IF($A183&lt;=I$4,H$6+(I$6-H$6)*($A183-H$4)/(I$4-H$4),0),0)</f>
        <v>4.6417177534470886</v>
      </c>
      <c r="J183">
        <f t="shared" ref="J183" si="613">IF($A183&gt;I$4,IF($A183&lt;=J$4,I$6+(J$6-I$6)*($A183-I$4)/(J$4-I$4),0),0)</f>
        <v>0</v>
      </c>
      <c r="K183">
        <f t="shared" ref="K183" si="614">IF($A183&gt;J$4,IF($A183&lt;=K$4,J$6+(K$6-J$6)*($A183-J$4)/(K$4-J$4),0),0)</f>
        <v>0</v>
      </c>
      <c r="L183">
        <f>IF($A183&gt;K$4,IF($A183&lt;=L$4,K$6+(L$6-K$6)*($A183-K$4)/(L$4-K$4),L$6),0)</f>
        <v>0</v>
      </c>
      <c r="M183" s="34">
        <f t="shared" si="555"/>
        <v>4.6417177534470886</v>
      </c>
    </row>
    <row r="184" spans="1:13" x14ac:dyDescent="0.25">
      <c r="A184" s="57" t="s">
        <v>85</v>
      </c>
      <c r="B184" t="s">
        <v>71</v>
      </c>
      <c r="C184">
        <f>IF($A185&lt;=C$4,C$5,0)</f>
        <v>0</v>
      </c>
      <c r="D184">
        <f>IF($A185&gt;C$4,IF($A185&lt;=D$4,C$5+(D$5-C$5)*($A185-C$4)/(D$4-C$4),0),0)</f>
        <v>0</v>
      </c>
      <c r="E184">
        <f>IF($A185&gt;D$4,IF($A185&lt;=E$4,D$5+(E$5-D$5)*($A185-D$4)/(E$4-D$4),0),0)</f>
        <v>0</v>
      </c>
      <c r="F184">
        <f t="shared" ref="F184" si="615">IF($A185&gt;E$4,IF($A185&lt;=F$4,E$5+(F$5-E$5)*($A185-E$4)/(F$4-E$4),0),0)</f>
        <v>0</v>
      </c>
      <c r="G184">
        <f t="shared" ref="G184" si="616">IF($A185&gt;F$4,IF($A185&lt;=G$4,F$5+(G$5-F$5)*($A185-F$4)/(G$4-F$4),0),0)</f>
        <v>0</v>
      </c>
      <c r="H184">
        <f t="shared" ref="H184" si="617">IF($A185&gt;G$4,IF($A185&lt;=H$4,G$5+(H$5-G$5)*($A185-G$4)/(H$4-G$4),0),0)</f>
        <v>0</v>
      </c>
      <c r="I184">
        <f t="shared" ref="I184" si="618">IF($A185&gt;H$4,IF($A185&lt;=I$4,H$5+(I$5-H$5)*($A185-H$4)/(I$4-H$4),0),0)</f>
        <v>0</v>
      </c>
      <c r="J184">
        <f t="shared" ref="J184" si="619">IF($A185&gt;I$4,IF($A185&lt;=J$4,I$5+(J$5-I$5)*($A185-I$4)/(J$4-I$4),0),0)</f>
        <v>11.993229088104457</v>
      </c>
      <c r="K184">
        <f t="shared" ref="K184" si="620">IF($A185&gt;J$4,IF($A185&lt;=K$4,J$5+(K$5-J$5)*($A185-J$4)/(K$4-J$4),0),0)</f>
        <v>0</v>
      </c>
      <c r="L184">
        <f>IF($A185&gt;K$4,IF($A185&lt;=L$4,K$5+(L$5-K$5)*($A185-K$4)/(L$4-K$4),L$5),0)</f>
        <v>0</v>
      </c>
      <c r="M184" s="32">
        <f t="shared" si="555"/>
        <v>11.993229088104457</v>
      </c>
    </row>
    <row r="185" spans="1:13" ht="15.75" thickBot="1" x14ac:dyDescent="0.3">
      <c r="A185">
        <f>H172</f>
        <v>2.8770320277658779</v>
      </c>
      <c r="B185" t="s">
        <v>72</v>
      </c>
      <c r="C185">
        <f>IF($A185&lt;=C$4,C$6,0)</f>
        <v>0</v>
      </c>
      <c r="D185">
        <f>IF($A185&gt;C$4,IF($A185&lt;=D$4,C$6+(D$6-C$6)*($A185-C$4)/(D$4-C$4),0),0)</f>
        <v>0</v>
      </c>
      <c r="E185">
        <f t="shared" ref="E185" si="621">IF($A185&gt;D$4,IF($A185&lt;=E$4,D$6+(E$6-D$6)*($A185-D$4)/(E$4-D$4),0),0)</f>
        <v>0</v>
      </c>
      <c r="F185">
        <f t="shared" ref="F185" si="622">IF($A185&gt;E$4,IF($A185&lt;=F$4,E$6+(F$6-E$6)*($A185-E$4)/(F$4-E$4),0),0)</f>
        <v>0</v>
      </c>
      <c r="G185">
        <f t="shared" ref="G185" si="623">IF($A185&gt;F$4,IF($A185&lt;=G$4,F$6+(G$6-F$6)*($A185-F$4)/(G$4-F$4),0),0)</f>
        <v>0</v>
      </c>
      <c r="H185">
        <f t="shared" ref="H185" si="624">IF($A185&gt;G$4,IF($A185&lt;=H$4,G$6+(H$6-G$6)*($A185-G$4)/(H$4-G$4),0),0)</f>
        <v>0</v>
      </c>
      <c r="I185">
        <f t="shared" ref="I185" si="625">IF($A185&gt;H$4,IF($A185&lt;=I$4,H$6+(I$6-H$6)*($A185-H$4)/(I$4-H$4),0),0)</f>
        <v>0</v>
      </c>
      <c r="J185">
        <f t="shared" ref="J185" si="626">IF($A185&gt;I$4,IF($A185&lt;=J$4,I$6+(J$6-I$6)*($A185-I$4)/(J$4-I$4),0),0)</f>
        <v>5.4677091189554323</v>
      </c>
      <c r="K185">
        <f t="shared" ref="K185" si="627">IF($A185&gt;J$4,IF($A185&lt;=K$4,J$6+(K$6-J$6)*($A185-J$4)/(K$4-J$4),0),0)</f>
        <v>0</v>
      </c>
      <c r="L185">
        <f>IF($A185&gt;K$4,IF($A185&lt;=L$4,K$6+(L$6-K$6)*($A185-K$4)/(L$4-K$4),L$6),0)</f>
        <v>0</v>
      </c>
      <c r="M185" s="34">
        <f t="shared" si="555"/>
        <v>5.4677091189554323</v>
      </c>
    </row>
    <row r="186" spans="1:13" x14ac:dyDescent="0.25">
      <c r="A186" s="57" t="s">
        <v>86</v>
      </c>
      <c r="B186" t="s">
        <v>71</v>
      </c>
      <c r="C186">
        <f>IF($A187&lt;=C$4,C$5,0)</f>
        <v>0</v>
      </c>
      <c r="D186">
        <f>IF($A187&gt;C$4,IF($A187&lt;=D$4,C$5+(D$5-C$5)*($A187-C$4)/(D$4-C$4),0),0)</f>
        <v>0</v>
      </c>
      <c r="E186">
        <f>IF($A187&gt;D$4,IF($A187&lt;=E$4,D$5+(E$5-D$5)*($A187-D$4)/(E$4-D$4),0),0)</f>
        <v>0</v>
      </c>
      <c r="F186">
        <f t="shared" ref="F186" si="628">IF($A187&gt;E$4,IF($A187&lt;=F$4,E$5+(F$5-E$5)*($A187-E$4)/(F$4-E$4),0),0)</f>
        <v>0</v>
      </c>
      <c r="G186">
        <f t="shared" ref="G186" si="629">IF($A187&gt;F$4,IF($A187&lt;=G$4,F$5+(G$5-F$5)*($A187-F$4)/(G$4-F$4),0),0)</f>
        <v>0</v>
      </c>
      <c r="H186">
        <f t="shared" ref="H186" si="630">IF($A187&gt;G$4,IF($A187&lt;=H$4,G$5+(H$5-G$5)*($A187-G$4)/(H$4-G$4),0),0)</f>
        <v>0</v>
      </c>
      <c r="I186">
        <f t="shared" ref="I186" si="631">IF($A187&gt;H$4,IF($A187&lt;=I$4,H$5+(I$5-H$5)*($A187-H$4)/(I$4-H$4),0),0)</f>
        <v>0</v>
      </c>
      <c r="J186">
        <f t="shared" ref="J186" si="632">IF($A187&gt;I$4,IF($A187&lt;=J$4,I$5+(J$5-I$5)*($A187-I$4)/(J$4-I$4),0),0)</f>
        <v>11.921852108098118</v>
      </c>
      <c r="K186">
        <f t="shared" ref="K186" si="633">IF($A187&gt;J$4,IF($A187&lt;=K$4,J$5+(K$5-J$5)*($A187-J$4)/(K$4-J$4),0),0)</f>
        <v>0</v>
      </c>
      <c r="L186">
        <f>IF($A187&gt;K$4,IF($A187&lt;=L$4,K$5+(L$5-K$5)*($A187-K$4)/(L$4-K$4),L$5),0)</f>
        <v>0</v>
      </c>
      <c r="M186" s="32">
        <f t="shared" si="555"/>
        <v>11.921852108098118</v>
      </c>
    </row>
    <row r="187" spans="1:13" ht="15.75" thickBot="1" x14ac:dyDescent="0.3">
      <c r="A187">
        <f>I172</f>
        <v>3.5836641298286378</v>
      </c>
      <c r="B187" t="s">
        <v>72</v>
      </c>
      <c r="C187">
        <f>IF($A187&lt;=C$4,C$6,0)</f>
        <v>0</v>
      </c>
      <c r="D187">
        <f>IF($A187&gt;C$4,IF($A187&lt;=D$4,C$6+(D$6-C$6)*($A187-C$4)/(D$4-C$4),0),0)</f>
        <v>0</v>
      </c>
      <c r="E187">
        <f t="shared" ref="E187" si="634">IF($A187&gt;D$4,IF($A187&lt;=E$4,D$6+(E$6-D$6)*($A187-D$4)/(E$4-D$4),0),0)</f>
        <v>0</v>
      </c>
      <c r="F187">
        <f t="shared" ref="F187" si="635">IF($A187&gt;E$4,IF($A187&lt;=F$4,E$6+(F$6-E$6)*($A187-E$4)/(F$4-E$4),0),0)</f>
        <v>0</v>
      </c>
      <c r="G187">
        <f t="shared" ref="G187" si="636">IF($A187&gt;F$4,IF($A187&lt;=G$4,F$6+(G$6-F$6)*($A187-F$4)/(G$4-F$4),0),0)</f>
        <v>0</v>
      </c>
      <c r="H187">
        <f t="shared" ref="H187" si="637">IF($A187&gt;G$4,IF($A187&lt;=H$4,G$6+(H$6-G$6)*($A187-G$4)/(H$4-G$4),0),0)</f>
        <v>0</v>
      </c>
      <c r="I187">
        <f t="shared" ref="I187" si="638">IF($A187&gt;H$4,IF($A187&lt;=I$4,H$6+(I$6-H$6)*($A187-H$4)/(I$4-H$4),0),0)</f>
        <v>0</v>
      </c>
      <c r="J187">
        <f t="shared" ref="J187" si="639">IF($A187&gt;I$4,IF($A187&lt;=J$4,I$6+(J$6-I$6)*($A187-I$4)/(J$4-I$4),0),0)</f>
        <v>6.1814789190188266</v>
      </c>
      <c r="K187">
        <f t="shared" ref="K187" si="640">IF($A187&gt;J$4,IF($A187&lt;=K$4,J$6+(K$6-J$6)*($A187-J$4)/(K$4-J$4),0),0)</f>
        <v>0</v>
      </c>
      <c r="L187">
        <f>IF($A187&gt;K$4,IF($A187&lt;=L$4,K$6+(L$6-K$6)*($A187-K$4)/(L$4-K$4),L$6),0)</f>
        <v>0</v>
      </c>
      <c r="M187" s="34">
        <f t="shared" si="555"/>
        <v>6.1814789190188266</v>
      </c>
    </row>
    <row r="188" spans="1:13" x14ac:dyDescent="0.25">
      <c r="A188" s="57" t="s">
        <v>87</v>
      </c>
      <c r="B188" t="s">
        <v>71</v>
      </c>
      <c r="C188">
        <f>IF($A189&lt;=C$4,C$5,0)</f>
        <v>0</v>
      </c>
      <c r="D188">
        <f>IF($A189&gt;C$4,IF($A189&lt;=D$4,C$5+(D$5-C$5)*($A189-C$4)/(D$4-C$4),0),0)</f>
        <v>0</v>
      </c>
      <c r="E188">
        <f>IF($A189&gt;D$4,IF($A189&lt;=E$4,D$5+(E$5-D$5)*($A189-D$4)/(E$4-D$4),0),0)</f>
        <v>0</v>
      </c>
      <c r="F188">
        <f t="shared" ref="F188" si="641">IF($A189&gt;E$4,IF($A189&lt;=F$4,E$5+(F$5-E$5)*($A189-E$4)/(F$4-E$4),0),0)</f>
        <v>0</v>
      </c>
      <c r="G188">
        <f t="shared" ref="G188" si="642">IF($A189&gt;F$4,IF($A189&lt;=G$4,F$5+(G$5-F$5)*($A189-F$4)/(G$4-F$4),0),0)</f>
        <v>0</v>
      </c>
      <c r="H188">
        <f t="shared" ref="H188" si="643">IF($A189&gt;G$4,IF($A189&lt;=H$4,G$5+(H$5-G$5)*($A189-G$4)/(H$4-G$4),0),0)</f>
        <v>0</v>
      </c>
      <c r="I188">
        <f t="shared" ref="I188" si="644">IF($A189&gt;H$4,IF($A189&lt;=I$4,H$5+(I$5-H$5)*($A189-H$4)/(I$4-H$4),0),0)</f>
        <v>0</v>
      </c>
      <c r="J188">
        <f t="shared" ref="J188" si="645">IF($A189&gt;I$4,IF($A189&lt;=J$4,I$5+(J$5-I$5)*($A189-I$4)/(J$4-I$4),0),0)</f>
        <v>0</v>
      </c>
      <c r="K188">
        <f t="shared" ref="K188" si="646">IF($A189&gt;J$4,IF($A189&lt;=K$4,J$5+(K$5-J$5)*($A189-J$4)/(K$4-J$4),0),0)</f>
        <v>11.839190676061998</v>
      </c>
      <c r="L188">
        <f>IF($A189&gt;K$4,IF($A189&lt;=L$4,K$5+(L$5-K$5)*($A189-K$4)/(L$4-K$4),L$5),0)</f>
        <v>0</v>
      </c>
      <c r="M188" s="32">
        <f t="shared" si="555"/>
        <v>11.839190676061998</v>
      </c>
    </row>
    <row r="189" spans="1:13" ht="15.75" thickBot="1" x14ac:dyDescent="0.3">
      <c r="A189">
        <f>J172</f>
        <v>4.4749834957118351</v>
      </c>
      <c r="B189" t="s">
        <v>72</v>
      </c>
      <c r="C189">
        <f>IF($A189&lt;=C$4,C$6,0)</f>
        <v>0</v>
      </c>
      <c r="D189">
        <f>IF($A189&gt;C$4,IF($A189&lt;=D$4,C$6+(D$6-C$6)*($A189-C$4)/(D$4-C$4),0),0)</f>
        <v>0</v>
      </c>
      <c r="E189">
        <f t="shared" ref="E189" si="647">IF($A189&gt;D$4,IF($A189&lt;=E$4,D$6+(E$6-D$6)*($A189-D$4)/(E$4-D$4),0),0)</f>
        <v>0</v>
      </c>
      <c r="F189">
        <f t="shared" ref="F189" si="648">IF($A189&gt;E$4,IF($A189&lt;=F$4,E$6+(F$6-E$6)*($A189-E$4)/(F$4-E$4),0),0)</f>
        <v>0</v>
      </c>
      <c r="G189">
        <f t="shared" ref="G189" si="649">IF($A189&gt;F$4,IF($A189&lt;=G$4,F$6+(G$6-F$6)*($A189-F$4)/(G$4-F$4),0),0)</f>
        <v>0</v>
      </c>
      <c r="H189">
        <f t="shared" ref="H189" si="650">IF($A189&gt;G$4,IF($A189&lt;=H$4,G$6+(H$6-G$6)*($A189-G$4)/(H$4-G$4),0),0)</f>
        <v>0</v>
      </c>
      <c r="I189">
        <f t="shared" ref="I189" si="651">IF($A189&gt;H$4,IF($A189&lt;=I$4,H$6+(I$6-H$6)*($A189-H$4)/(I$4-H$4),0),0)</f>
        <v>0</v>
      </c>
      <c r="J189">
        <f t="shared" ref="J189" si="652">IF($A189&gt;I$4,IF($A189&lt;=J$4,I$6+(J$6-I$6)*($A189-I$4)/(J$4-I$4),0),0)</f>
        <v>0</v>
      </c>
      <c r="K189">
        <f t="shared" ref="K189" si="653">IF($A189&gt;J$4,IF($A189&lt;=K$4,J$6+(K$6-J$6)*($A189-J$4)/(K$4-J$4),0),0)</f>
        <v>8.1330657322330904</v>
      </c>
      <c r="L189">
        <f>IF($A189&gt;K$4,IF($A189&lt;=L$4,K$6+(L$6-K$6)*($A189-K$4)/(L$4-K$4),L$6),0)</f>
        <v>0</v>
      </c>
      <c r="M189" s="34">
        <f t="shared" si="555"/>
        <v>8.1330657322330904</v>
      </c>
    </row>
    <row r="190" spans="1:13" x14ac:dyDescent="0.25">
      <c r="A190" s="57" t="s">
        <v>88</v>
      </c>
      <c r="B190" t="s">
        <v>71</v>
      </c>
      <c r="C190">
        <f>IF($A191&lt;=C$4,C$5,0)</f>
        <v>0</v>
      </c>
      <c r="D190">
        <f>IF($A191&gt;C$4,IF($A191&lt;=D$4,C$5+(D$5-C$5)*($A191-C$4)/(D$4-C$4),0),0)</f>
        <v>0</v>
      </c>
      <c r="E190">
        <f>IF($A191&gt;D$4,IF($A191&lt;=E$4,D$5+(E$5-D$5)*($A191-D$4)/(E$4-D$4),0),0)</f>
        <v>0</v>
      </c>
      <c r="F190">
        <f t="shared" ref="F190" si="654">IF($A191&gt;E$4,IF($A191&lt;=F$4,E$5+(F$5-E$5)*($A191-E$4)/(F$4-E$4),0),0)</f>
        <v>0</v>
      </c>
      <c r="G190">
        <f t="shared" ref="G190" si="655">IF($A191&gt;F$4,IF($A191&lt;=G$4,F$5+(G$5-F$5)*($A191-F$4)/(G$4-F$4),0),0)</f>
        <v>0</v>
      </c>
      <c r="H190">
        <f t="shared" ref="H190" si="656">IF($A191&gt;G$4,IF($A191&lt;=H$4,G$5+(H$5-G$5)*($A191-G$4)/(H$4-G$4),0),0)</f>
        <v>0</v>
      </c>
      <c r="I190">
        <f t="shared" ref="I190" si="657">IF($A191&gt;H$4,IF($A191&lt;=I$4,H$5+(I$5-H$5)*($A191-H$4)/(I$4-H$4),0),0)</f>
        <v>0</v>
      </c>
      <c r="J190">
        <f t="shared" ref="J190" si="658">IF($A191&gt;I$4,IF($A191&lt;=J$4,I$5+(J$5-I$5)*($A191-I$4)/(J$4-I$4),0),0)</f>
        <v>0</v>
      </c>
      <c r="K190">
        <f t="shared" ref="K190" si="659">IF($A191&gt;J$4,IF($A191&lt;=K$4,J$5+(K$5-J$5)*($A191-J$4)/(K$4-J$4),0),0)</f>
        <v>0</v>
      </c>
      <c r="L190">
        <f>IF($A191&gt;K$4,IF($A191&lt;=L$4,K$5+(L$5-K$5)*($A191-K$4)/(L$4-K$4),L$5),0)</f>
        <v>11.774708137487309</v>
      </c>
      <c r="M190" s="32">
        <f t="shared" si="555"/>
        <v>11.774708137487309</v>
      </c>
    </row>
    <row r="191" spans="1:13" ht="15.75" thickBot="1" x14ac:dyDescent="0.3">
      <c r="A191">
        <f>K172</f>
        <v>5.6207013366066345</v>
      </c>
      <c r="B191" t="s">
        <v>72</v>
      </c>
      <c r="C191">
        <f>IF($A191&lt;=C$4,C$6,0)</f>
        <v>0</v>
      </c>
      <c r="D191">
        <f>IF($A191&gt;C$4,IF($A191&lt;=D$4,C$6+(D$6-C$6)*($A191-C$4)/(D$4-C$4),0),0)</f>
        <v>0</v>
      </c>
      <c r="E191">
        <f t="shared" ref="E191" si="660">IF($A191&gt;D$4,IF($A191&lt;=E$4,D$6+(E$6-D$6)*($A191-D$4)/(E$4-D$4),0),0)</f>
        <v>0</v>
      </c>
      <c r="F191">
        <f t="shared" ref="F191" si="661">IF($A191&gt;E$4,IF($A191&lt;=F$4,E$6+(F$6-E$6)*($A191-E$4)/(F$4-E$4),0),0)</f>
        <v>0</v>
      </c>
      <c r="G191">
        <f t="shared" ref="G191" si="662">IF($A191&gt;F$4,IF($A191&lt;=G$4,F$6+(G$6-F$6)*($A191-F$4)/(G$4-F$4),0),0)</f>
        <v>0</v>
      </c>
      <c r="H191">
        <f t="shared" ref="H191" si="663">IF($A191&gt;G$4,IF($A191&lt;=H$4,G$6+(H$6-G$6)*($A191-G$4)/(H$4-G$4),0),0)</f>
        <v>0</v>
      </c>
      <c r="I191">
        <f t="shared" ref="I191" si="664">IF($A191&gt;H$4,IF($A191&lt;=I$4,H$6+(I$6-H$6)*($A191-H$4)/(I$4-H$4),0),0)</f>
        <v>0</v>
      </c>
      <c r="J191">
        <f t="shared" ref="J191" si="665">IF($A191&gt;I$4,IF($A191&lt;=J$4,I$6+(J$6-I$6)*($A191-I$4)/(J$4-I$4),0),0)</f>
        <v>0</v>
      </c>
      <c r="K191">
        <f t="shared" ref="K191" si="666">IF($A191&gt;J$4,IF($A191&lt;=K$4,J$6+(K$6-J$6)*($A191-J$4)/(K$4-J$4),0),0)</f>
        <v>0</v>
      </c>
      <c r="L191">
        <f>IF($A191&gt;K$4,IF($A191&lt;=L$4,K$6+(L$6-K$6)*($A191-K$4)/(L$4-K$4),L$6),0)</f>
        <v>10.350196019302086</v>
      </c>
      <c r="M191" s="34">
        <f t="shared" si="555"/>
        <v>10.350196019302086</v>
      </c>
    </row>
    <row r="192" spans="1:13" x14ac:dyDescent="0.25">
      <c r="A192" s="57" t="s">
        <v>89</v>
      </c>
      <c r="B192" t="s">
        <v>71</v>
      </c>
      <c r="C192">
        <f>IF($A193&lt;=C$4,C$5,0)</f>
        <v>0</v>
      </c>
      <c r="D192">
        <f>IF($A193&gt;C$4,IF($A193&lt;=D$4,C$5+(D$5-C$5)*($A193-C$4)/(D$4-C$4),0),0)</f>
        <v>0</v>
      </c>
      <c r="E192">
        <f>IF($A193&gt;D$4,IF($A193&lt;=E$4,D$5+(E$5-D$5)*($A193-D$4)/(E$4-D$4),0),0)</f>
        <v>0</v>
      </c>
      <c r="F192">
        <f t="shared" ref="F192" si="667">IF($A193&gt;E$4,IF($A193&lt;=F$4,E$5+(F$5-E$5)*($A193-E$4)/(F$4-E$4),0),0)</f>
        <v>0</v>
      </c>
      <c r="G192">
        <f t="shared" ref="G192" si="668">IF($A193&gt;F$4,IF($A193&lt;=G$4,F$5+(G$5-F$5)*($A193-F$4)/(G$4-F$4),0),0)</f>
        <v>0</v>
      </c>
      <c r="H192">
        <f t="shared" ref="H192" si="669">IF($A193&gt;G$4,IF($A193&lt;=H$4,G$5+(H$5-G$5)*($A193-G$4)/(H$4-G$4),0),0)</f>
        <v>0</v>
      </c>
      <c r="I192">
        <f t="shared" ref="I192" si="670">IF($A193&gt;H$4,IF($A193&lt;=I$4,H$5+(I$5-H$5)*($A193-H$4)/(I$4-H$4),0),0)</f>
        <v>0</v>
      </c>
      <c r="J192">
        <f t="shared" ref="J192" si="671">IF($A193&gt;I$4,IF($A193&lt;=J$4,I$5+(J$5-I$5)*($A193-I$4)/(J$4-I$4),0),0)</f>
        <v>0</v>
      </c>
      <c r="K192">
        <f t="shared" ref="K192" si="672">IF($A193&gt;J$4,IF($A193&lt;=K$4,J$5+(K$5-J$5)*($A193-J$4)/(K$4-J$4),0),0)</f>
        <v>0</v>
      </c>
      <c r="L192">
        <f>IF($A193&gt;K$4,IF($A193&lt;=L$4,K$5+(L$5-K$5)*($A193-K$4)/(L$4-K$4),L$5),0)</f>
        <v>11.721464706792506</v>
      </c>
      <c r="M192" s="32">
        <f t="shared" si="555"/>
        <v>11.721464706792506</v>
      </c>
    </row>
    <row r="193" spans="1:13" ht="15.75" thickBot="1" x14ac:dyDescent="0.3">
      <c r="A193">
        <f>L172</f>
        <v>7.116841739130547</v>
      </c>
      <c r="B193" t="s">
        <v>72</v>
      </c>
      <c r="C193">
        <f>IF($A193&lt;=C$4,C$6,0)</f>
        <v>0</v>
      </c>
      <c r="D193">
        <f>IF($A193&gt;C$4,IF($A193&lt;=D$4,C$6+(D$6-C$6)*($A193-C$4)/(D$4-C$4),0),0)</f>
        <v>0</v>
      </c>
      <c r="E193">
        <f t="shared" ref="E193" si="673">IF($A193&gt;D$4,IF($A193&lt;=E$4,D$6+(E$6-D$6)*($A193-D$4)/(E$4-D$4),0),0)</f>
        <v>0</v>
      </c>
      <c r="F193">
        <f t="shared" ref="F193" si="674">IF($A193&gt;E$4,IF($A193&lt;=F$4,E$6+(F$6-E$6)*($A193-E$4)/(F$4-E$4),0),0)</f>
        <v>0</v>
      </c>
      <c r="G193">
        <f t="shared" ref="G193" si="675">IF($A193&gt;F$4,IF($A193&lt;=G$4,F$6+(G$6-F$6)*($A193-F$4)/(G$4-F$4),0),0)</f>
        <v>0</v>
      </c>
      <c r="H193">
        <f t="shared" ref="H193" si="676">IF($A193&gt;G$4,IF($A193&lt;=H$4,G$6+(H$6-G$6)*($A193-G$4)/(H$4-G$4),0),0)</f>
        <v>0</v>
      </c>
      <c r="I193">
        <f t="shared" ref="I193" si="677">IF($A193&gt;H$4,IF($A193&lt;=I$4,H$6+(I$6-H$6)*($A193-H$4)/(I$4-H$4),0),0)</f>
        <v>0</v>
      </c>
      <c r="J193">
        <f t="shared" ref="J193" si="678">IF($A193&gt;I$4,IF($A193&lt;=J$4,I$6+(J$6-I$6)*($A193-I$4)/(J$4-I$4),0),0)</f>
        <v>0</v>
      </c>
      <c r="K193">
        <f t="shared" ref="K193" si="679">IF($A193&gt;J$4,IF($A193&lt;=K$4,J$6+(K$6-J$6)*($A193-J$4)/(K$4-J$4),0),0)</f>
        <v>0</v>
      </c>
      <c r="L193">
        <f>IF($A193&gt;K$4,IF($A193&lt;=L$4,K$6+(L$6-K$6)*($A193-K$4)/(L$4-K$4),L$6),0)</f>
        <v>12.666285254525937</v>
      </c>
      <c r="M193" s="34">
        <f t="shared" si="555"/>
        <v>12.666285254525937</v>
      </c>
    </row>
    <row r="195" spans="1:13" x14ac:dyDescent="0.25">
      <c r="B195" t="s">
        <v>90</v>
      </c>
    </row>
    <row r="196" spans="1:13" ht="15.75" thickBot="1" x14ac:dyDescent="0.3">
      <c r="C196" s="25">
        <v>1</v>
      </c>
      <c r="D196" s="25">
        <v>2</v>
      </c>
      <c r="E196" s="25">
        <v>3</v>
      </c>
      <c r="F196" s="25">
        <v>4</v>
      </c>
      <c r="G196" s="25">
        <v>5</v>
      </c>
      <c r="H196" s="25">
        <v>6</v>
      </c>
      <c r="I196" s="25">
        <v>7</v>
      </c>
      <c r="J196" s="25">
        <v>8</v>
      </c>
      <c r="K196" s="25">
        <v>9</v>
      </c>
      <c r="L196" s="25">
        <v>10</v>
      </c>
    </row>
    <row r="197" spans="1:13" x14ac:dyDescent="0.25">
      <c r="B197" t="s">
        <v>71</v>
      </c>
      <c r="C197" s="58">
        <f>M174</f>
        <v>12.4</v>
      </c>
      <c r="D197" s="59">
        <f>M176</f>
        <v>12.316057245635315</v>
      </c>
      <c r="E197" s="59">
        <f>M178</f>
        <v>12.190357729006847</v>
      </c>
      <c r="F197" s="59">
        <f>M180</f>
        <v>12.082768946546867</v>
      </c>
      <c r="G197" s="59">
        <f>M182</f>
        <v>12</v>
      </c>
      <c r="H197" s="59">
        <f>M184</f>
        <v>11.993229088104457</v>
      </c>
      <c r="I197" s="59">
        <f>M186</f>
        <v>11.921852108098118</v>
      </c>
      <c r="J197" s="59">
        <f>M188</f>
        <v>11.839190676061998</v>
      </c>
      <c r="K197" s="59">
        <f>M190</f>
        <v>11.774708137487309</v>
      </c>
      <c r="L197" s="60">
        <f>M192</f>
        <v>11.721464706792506</v>
      </c>
    </row>
    <row r="198" spans="1:13" ht="15.75" thickBot="1" x14ac:dyDescent="0.3">
      <c r="B198" t="s">
        <v>72</v>
      </c>
      <c r="C198" s="52">
        <f>M175</f>
        <v>3.4276566938708388</v>
      </c>
      <c r="D198" s="53">
        <f t="shared" ref="D198" si="680">M177</f>
        <v>3.6678855087293707</v>
      </c>
      <c r="E198" s="53">
        <f>M179</f>
        <v>3.9192845419863049</v>
      </c>
      <c r="F198" s="53">
        <f>M181</f>
        <v>4.1689242138125264</v>
      </c>
      <c r="G198" s="53">
        <f>M183</f>
        <v>4.6417177534470886</v>
      </c>
      <c r="H198" s="53">
        <f>M185</f>
        <v>5.4677091189554323</v>
      </c>
      <c r="I198" s="53">
        <f>M187</f>
        <v>6.1814789190188266</v>
      </c>
      <c r="J198" s="53">
        <f>M189</f>
        <v>8.1330657322330904</v>
      </c>
      <c r="K198" s="53">
        <f>M191</f>
        <v>10.350196019302086</v>
      </c>
      <c r="L198" s="54">
        <f>M193</f>
        <v>12.666285254525937</v>
      </c>
    </row>
    <row r="199" spans="1:13" x14ac:dyDescent="0.25">
      <c r="B199" t="s">
        <v>161</v>
      </c>
      <c r="C199">
        <f>100-C197-C198</f>
        <v>84.17234330612915</v>
      </c>
      <c r="D199">
        <f t="shared" ref="D199:L199" si="681">100-D197-D198</f>
        <v>84.016057245635309</v>
      </c>
      <c r="E199">
        <f t="shared" si="681"/>
        <v>83.890357729006851</v>
      </c>
      <c r="F199">
        <f t="shared" si="681"/>
        <v>83.748306839640605</v>
      </c>
      <c r="G199">
        <f t="shared" si="681"/>
        <v>83.358282246552918</v>
      </c>
      <c r="H199">
        <f t="shared" si="681"/>
        <v>82.539061792940117</v>
      </c>
      <c r="I199">
        <f t="shared" si="681"/>
        <v>81.896668972883049</v>
      </c>
      <c r="J199">
        <f t="shared" si="681"/>
        <v>80.027743591704905</v>
      </c>
      <c r="K199">
        <f t="shared" si="681"/>
        <v>77.875095843210602</v>
      </c>
      <c r="L199">
        <f t="shared" si="681"/>
        <v>75.612250038681566</v>
      </c>
    </row>
    <row r="202" spans="1:13" ht="18.75" x14ac:dyDescent="0.3">
      <c r="B202" s="56">
        <v>2022</v>
      </c>
    </row>
    <row r="203" spans="1:13" x14ac:dyDescent="0.25">
      <c r="C203" s="25">
        <v>1</v>
      </c>
      <c r="D203" s="25">
        <v>2</v>
      </c>
      <c r="E203" s="25">
        <v>3</v>
      </c>
      <c r="F203" s="25">
        <v>4</v>
      </c>
      <c r="G203" s="25">
        <v>5</v>
      </c>
      <c r="H203" s="25">
        <v>6</v>
      </c>
      <c r="I203" s="25">
        <v>7</v>
      </c>
      <c r="J203" s="25">
        <v>8</v>
      </c>
      <c r="K203" s="25">
        <v>9</v>
      </c>
      <c r="L203" s="25">
        <v>10</v>
      </c>
    </row>
    <row r="204" spans="1:13" x14ac:dyDescent="0.25">
      <c r="B204" t="s">
        <v>79</v>
      </c>
      <c r="C204" s="8">
        <f>INDEX(decdoh2022,'матрица расходов'!C203)/расслоение!$M$243</f>
        <v>0.86486048161638385</v>
      </c>
      <c r="D204" s="8">
        <f>INDEX(decdoh2022,'матрица расходов'!D203)/расслоение!$M$243</f>
        <v>1.2247160043697018</v>
      </c>
      <c r="E204" s="8">
        <f>INDEX(decdoh2022,'матрица расходов'!E203)/расслоение!$M$243</f>
        <v>1.625914814165345</v>
      </c>
      <c r="F204" s="8">
        <f>INDEX(decdoh2022,'матрица расходов'!F203)/расслоение!$M$243</f>
        <v>2.0840621593281061</v>
      </c>
      <c r="G204" s="8">
        <f>INDEX(decdoh2022,'матрица расходов'!G203)/расслоение!$M$243</f>
        <v>2.6206535739510386</v>
      </c>
      <c r="H204" s="8">
        <f>INDEX(decdoh2022,'матрица расходов'!H203)/расслоение!$M$243</f>
        <v>3.2652981982623994</v>
      </c>
      <c r="I204" s="8">
        <f>INDEX(decdoh2022,'матрица расходов'!I203)/расслоение!$M$243</f>
        <v>4.0587813033450768</v>
      </c>
      <c r="J204" s="8">
        <f>INDEX(decdoh2022,'матрица расходов'!J203)/расслоение!$M$243</f>
        <v>5.0572827824509927</v>
      </c>
      <c r="K204" s="8">
        <f>INDEX(decdoh2022,'матрица расходов'!K203)/расслоение!$M$243</f>
        <v>6.3381879347824714</v>
      </c>
      <c r="L204" s="8">
        <f>INDEX(decdoh2022,'матрица расходов'!L203)/расслоение!$M$243</f>
        <v>8.0080915611836563</v>
      </c>
    </row>
    <row r="205" spans="1:13" ht="15.75" thickBot="1" x14ac:dyDescent="0.3"/>
    <row r="206" spans="1:13" x14ac:dyDescent="0.25">
      <c r="A206" s="57" t="s">
        <v>80</v>
      </c>
      <c r="B206" t="s">
        <v>71</v>
      </c>
      <c r="C206">
        <f>IF($A207&lt;=C$4,C$5,0)</f>
        <v>0</v>
      </c>
      <c r="D206">
        <f>IF($A207&gt;C$4,IF($A207&lt;=D$4,C$5+(D$5-C$5)*($A207-C$4)/(D$4-C$4),0),0)</f>
        <v>12.4</v>
      </c>
      <c r="E206">
        <f>IF($A207&gt;D$4,IF($A207&lt;=E$4,D$5+(E$5-D$5)*($A207-D$4)/(E$4-D$4),0),0)</f>
        <v>0</v>
      </c>
      <c r="F206">
        <f t="shared" ref="F206" si="682">IF($A207&gt;E$4,IF($A207&lt;=F$4,E$5+(F$5-E$5)*($A207-E$4)/(F$4-E$4),0),0)</f>
        <v>0</v>
      </c>
      <c r="G206">
        <f t="shared" ref="G206" si="683">IF($A207&gt;F$4,IF($A207&lt;=G$4,F$5+(G$5-F$5)*($A207-F$4)/(G$4-F$4),0),0)</f>
        <v>0</v>
      </c>
      <c r="H206">
        <f t="shared" ref="H206" si="684">IF($A207&gt;G$4,IF($A207&lt;=H$4,G$5+(H$5-G$5)*($A207-G$4)/(H$4-G$4),0),0)</f>
        <v>0</v>
      </c>
      <c r="I206">
        <f t="shared" ref="I206" si="685">IF($A207&gt;H$4,IF($A207&lt;=I$4,H$5+(I$5-H$5)*($A207-H$4)/(I$4-H$4),0),0)</f>
        <v>0</v>
      </c>
      <c r="J206">
        <f t="shared" ref="J206" si="686">IF($A207&gt;I$4,IF($A207&lt;=J$4,I$5+(J$5-I$5)*($A207-I$4)/(J$4-I$4),0),0)</f>
        <v>0</v>
      </c>
      <c r="K206">
        <f t="shared" ref="K206" si="687">IF($A207&gt;J$4,IF($A207&lt;=K$4,J$5+(K$5-J$5)*($A207-J$4)/(K$4-J$4),0),0)</f>
        <v>0</v>
      </c>
      <c r="L206">
        <f>IF($A207&gt;K$4,IF($A207&lt;=L$4,K$5+(L$5-K$5)*($A207-K$4)/(L$4-K$4),L$5),0)</f>
        <v>0</v>
      </c>
      <c r="M206" s="32">
        <f t="shared" ref="M206:M225" si="688">SUM(C206:L206)</f>
        <v>12.4</v>
      </c>
    </row>
    <row r="207" spans="1:13" ht="15.75" thickBot="1" x14ac:dyDescent="0.3">
      <c r="A207">
        <f>C204</f>
        <v>0.86486048161638385</v>
      </c>
      <c r="B207" t="s">
        <v>72</v>
      </c>
      <c r="C207">
        <f>IF($A207&lt;=C$4,C$6,0)</f>
        <v>0</v>
      </c>
      <c r="D207">
        <f>IF($A207&gt;C$4,IF($A207&lt;=D$4,C$6+(D$6-C$6)*($A207-C$4)/(D$4-C$4),0),0)</f>
        <v>3.4967539883892949</v>
      </c>
      <c r="E207">
        <f t="shared" ref="E207" si="689">IF($A207&gt;D$4,IF($A207&lt;=E$4,D$6+(E$6-D$6)*($A207-D$4)/(E$4-D$4),0),0)</f>
        <v>0</v>
      </c>
      <c r="F207">
        <f t="shared" ref="F207" si="690">IF($A207&gt;E$4,IF($A207&lt;=F$4,E$6+(F$6-E$6)*($A207-E$4)/(F$4-E$4),0),0)</f>
        <v>0</v>
      </c>
      <c r="G207">
        <f t="shared" ref="G207" si="691">IF($A207&gt;F$4,IF($A207&lt;=G$4,F$6+(G$6-F$6)*($A207-F$4)/(G$4-F$4),0),0)</f>
        <v>0</v>
      </c>
      <c r="H207">
        <f t="shared" ref="H207" si="692">IF($A207&gt;G$4,IF($A207&lt;=H$4,G$6+(H$6-G$6)*($A207-G$4)/(H$4-G$4),0),0)</f>
        <v>0</v>
      </c>
      <c r="I207">
        <f t="shared" ref="I207" si="693">IF($A207&gt;H$4,IF($A207&lt;=I$4,H$6+(I$6-H$6)*($A207-H$4)/(I$4-H$4),0),0)</f>
        <v>0</v>
      </c>
      <c r="J207">
        <f t="shared" ref="J207" si="694">IF($A207&gt;I$4,IF($A207&lt;=J$4,I$6+(J$6-I$6)*($A207-I$4)/(J$4-I$4),0),0)</f>
        <v>0</v>
      </c>
      <c r="K207">
        <f t="shared" ref="K207" si="695">IF($A207&gt;J$4,IF($A207&lt;=K$4,J$6+(K$6-J$6)*($A207-J$4)/(K$4-J$4),0),0)</f>
        <v>0</v>
      </c>
      <c r="L207">
        <f>IF($A207&gt;K$4,IF($A207&lt;=L$4,K$6+(L$6-K$6)*($A207-K$4)/(L$4-K$4),L$6),0)</f>
        <v>0</v>
      </c>
      <c r="M207" s="34">
        <f t="shared" si="688"/>
        <v>3.4967539883892949</v>
      </c>
    </row>
    <row r="208" spans="1:13" x14ac:dyDescent="0.25">
      <c r="A208" s="57" t="s">
        <v>81</v>
      </c>
      <c r="B208" t="s">
        <v>71</v>
      </c>
      <c r="C208">
        <f>IF($A209&lt;=C$4,C$5,0)</f>
        <v>0</v>
      </c>
      <c r="D208">
        <f>IF($A209&gt;C$4,IF($A209&lt;=D$4,C$5+(D$5-C$5)*($A209-C$4)/(D$4-C$4),0),0)</f>
        <v>0</v>
      </c>
      <c r="E208">
        <f>IF($A209&gt;D$4,IF($A209&lt;=E$4,D$5+(E$5-D$5)*($A209-D$4)/(E$4-D$4),0),0)</f>
        <v>0</v>
      </c>
      <c r="F208">
        <f t="shared" ref="F208" si="696">IF($A209&gt;E$4,IF($A209&lt;=F$4,E$5+(F$5-E$5)*($A209-E$4)/(F$4-E$4),0),0)</f>
        <v>12.259029998439392</v>
      </c>
      <c r="G208">
        <f t="shared" ref="G208" si="697">IF($A209&gt;F$4,IF($A209&lt;=G$4,F$5+(G$5-F$5)*($A209-F$4)/(G$4-F$4),0),0)</f>
        <v>0</v>
      </c>
      <c r="H208">
        <f t="shared" ref="H208" si="698">IF($A209&gt;G$4,IF($A209&lt;=H$4,G$5+(H$5-G$5)*($A209-G$4)/(H$4-G$4),0),0)</f>
        <v>0</v>
      </c>
      <c r="I208">
        <f t="shared" ref="I208" si="699">IF($A209&gt;H$4,IF($A209&lt;=I$4,H$5+(I$5-H$5)*($A209-H$4)/(I$4-H$4),0),0)</f>
        <v>0</v>
      </c>
      <c r="J208">
        <f t="shared" ref="J208" si="700">IF($A209&gt;I$4,IF($A209&lt;=J$4,I$5+(J$5-I$5)*($A209-I$4)/(J$4-I$4),0),0)</f>
        <v>0</v>
      </c>
      <c r="K208">
        <f t="shared" ref="K208" si="701">IF($A209&gt;J$4,IF($A209&lt;=K$4,J$5+(K$5-J$5)*($A209-J$4)/(K$4-J$4),0),0)</f>
        <v>0</v>
      </c>
      <c r="L208">
        <f>IF($A209&gt;K$4,IF($A209&lt;=L$4,K$5+(L$5-K$5)*($A209-K$4)/(L$4-K$4),L$5),0)</f>
        <v>0</v>
      </c>
      <c r="M208" s="32">
        <f t="shared" si="688"/>
        <v>12.259029998439392</v>
      </c>
    </row>
    <row r="209" spans="1:13" ht="15.75" thickBot="1" x14ac:dyDescent="0.3">
      <c r="A209">
        <f>D204</f>
        <v>1.2247160043697018</v>
      </c>
      <c r="B209" t="s">
        <v>72</v>
      </c>
      <c r="C209">
        <f>IF($A209&lt;=C$4,C$6,0)</f>
        <v>0</v>
      </c>
      <c r="D209">
        <f>IF($A209&gt;C$4,IF($A209&lt;=D$4,C$6+(D$6-C$6)*($A209-C$4)/(D$4-C$4),0),0)</f>
        <v>0</v>
      </c>
      <c r="E209">
        <f t="shared" ref="E209" si="702">IF($A209&gt;D$4,IF($A209&lt;=E$4,D$6+(E$6-D$6)*($A209-D$4)/(E$4-D$4),0),0)</f>
        <v>0</v>
      </c>
      <c r="F209">
        <f t="shared" ref="F209" si="703">IF($A209&gt;E$4,IF($A209&lt;=F$4,E$6+(F$6-E$6)*($A209-E$4)/(F$4-E$4),0),0)</f>
        <v>3.7819400031212158</v>
      </c>
      <c r="G209">
        <f t="shared" ref="G209" si="704">IF($A209&gt;F$4,IF($A209&lt;=G$4,F$6+(G$6-F$6)*($A209-F$4)/(G$4-F$4),0),0)</f>
        <v>0</v>
      </c>
      <c r="H209">
        <f t="shared" ref="H209" si="705">IF($A209&gt;G$4,IF($A209&lt;=H$4,G$6+(H$6-G$6)*($A209-G$4)/(H$4-G$4),0),0)</f>
        <v>0</v>
      </c>
      <c r="I209">
        <f t="shared" ref="I209" si="706">IF($A209&gt;H$4,IF($A209&lt;=I$4,H$6+(I$6-H$6)*($A209-H$4)/(I$4-H$4),0),0)</f>
        <v>0</v>
      </c>
      <c r="J209">
        <f t="shared" ref="J209" si="707">IF($A209&gt;I$4,IF($A209&lt;=J$4,I$6+(J$6-I$6)*($A209-I$4)/(J$4-I$4),0),0)</f>
        <v>0</v>
      </c>
      <c r="K209">
        <f t="shared" ref="K209" si="708">IF($A209&gt;J$4,IF($A209&lt;=K$4,J$6+(K$6-J$6)*($A209-J$4)/(K$4-J$4),0),0)</f>
        <v>0</v>
      </c>
      <c r="L209">
        <f>IF($A209&gt;K$4,IF($A209&lt;=L$4,K$6+(L$6-K$6)*($A209-K$4)/(L$4-K$4),L$6),0)</f>
        <v>0</v>
      </c>
      <c r="M209" s="34">
        <f t="shared" si="688"/>
        <v>3.7819400031212158</v>
      </c>
    </row>
    <row r="210" spans="1:13" x14ac:dyDescent="0.25">
      <c r="A210" s="57" t="s">
        <v>82</v>
      </c>
      <c r="B210" t="s">
        <v>71</v>
      </c>
      <c r="C210">
        <f>IF($A211&lt;=C$4,C$5,0)</f>
        <v>0</v>
      </c>
      <c r="D210">
        <f>IF($A211&gt;C$4,IF($A211&lt;=D$4,C$5+(D$5-C$5)*($A211-C$4)/(D$4-C$4),0),0)</f>
        <v>0</v>
      </c>
      <c r="E210">
        <f>IF($A211&gt;D$4,IF($A211&lt;=E$4,D$5+(E$5-D$5)*($A211-D$4)/(E$4-D$4),0),0)</f>
        <v>0</v>
      </c>
      <c r="F210">
        <f t="shared" ref="F210" si="709">IF($A211&gt;E$4,IF($A211&lt;=F$4,E$5+(F$5-E$5)*($A211-E$4)/(F$4-E$4),0),0)</f>
        <v>0</v>
      </c>
      <c r="G210">
        <f t="shared" ref="G210" si="710">IF($A211&gt;F$4,IF($A211&lt;=G$4,F$5+(G$5-F$5)*($A211-F$4)/(G$4-F$4),0),0)</f>
        <v>12.134468107176293</v>
      </c>
      <c r="H210">
        <f t="shared" ref="H210" si="711">IF($A211&gt;G$4,IF($A211&lt;=H$4,G$5+(H$5-G$5)*($A211-G$4)/(H$4-G$4),0),0)</f>
        <v>0</v>
      </c>
      <c r="I210">
        <f t="shared" ref="I210" si="712">IF($A211&gt;H$4,IF($A211&lt;=I$4,H$5+(I$5-H$5)*($A211-H$4)/(I$4-H$4),0),0)</f>
        <v>0</v>
      </c>
      <c r="J210">
        <f t="shared" ref="J210" si="713">IF($A211&gt;I$4,IF($A211&lt;=J$4,I$5+(J$5-I$5)*($A211-I$4)/(J$4-I$4),0),0)</f>
        <v>0</v>
      </c>
      <c r="K210">
        <f t="shared" ref="K210" si="714">IF($A211&gt;J$4,IF($A211&lt;=K$4,J$5+(K$5-J$5)*($A211-J$4)/(K$4-J$4),0),0)</f>
        <v>0</v>
      </c>
      <c r="L210">
        <f>IF($A211&gt;K$4,IF($A211&lt;=L$4,K$5+(L$5-K$5)*($A211-K$4)/(L$4-K$4),L$5),0)</f>
        <v>0</v>
      </c>
      <c r="M210" s="32">
        <f t="shared" si="688"/>
        <v>12.134468107176293</v>
      </c>
    </row>
    <row r="211" spans="1:13" ht="15.75" thickBot="1" x14ac:dyDescent="0.3">
      <c r="A211">
        <f>E204</f>
        <v>1.625914814165345</v>
      </c>
      <c r="B211" t="s">
        <v>72</v>
      </c>
      <c r="C211">
        <f>IF($A211&lt;=C$4,C$6,0)</f>
        <v>0</v>
      </c>
      <c r="D211">
        <f>IF($A211&gt;C$4,IF($A211&lt;=D$4,C$6+(D$6-C$6)*($A211-C$4)/(D$4-C$4),0),0)</f>
        <v>0</v>
      </c>
      <c r="E211">
        <f t="shared" ref="E211" si="715">IF($A211&gt;D$4,IF($A211&lt;=E$4,D$6+(E$6-D$6)*($A211-D$4)/(E$4-D$4),0),0)</f>
        <v>0</v>
      </c>
      <c r="F211">
        <f t="shared" ref="F211" si="716">IF($A211&gt;E$4,IF($A211&lt;=F$4,E$6+(F$6-E$6)*($A211-E$4)/(F$4-E$4),0),0)</f>
        <v>0</v>
      </c>
      <c r="G211">
        <f t="shared" ref="G211" si="717">IF($A211&gt;F$4,IF($A211&lt;=G$4,F$6+(G$6-F$6)*($A211-F$4)/(G$4-F$4),0),0)</f>
        <v>4.0310637856474134</v>
      </c>
      <c r="H211">
        <f t="shared" ref="H211" si="718">IF($A211&gt;G$4,IF($A211&lt;=H$4,G$6+(H$6-G$6)*($A211-G$4)/(H$4-G$4),0),0)</f>
        <v>0</v>
      </c>
      <c r="I211">
        <f t="shared" ref="I211" si="719">IF($A211&gt;H$4,IF($A211&lt;=I$4,H$6+(I$6-H$6)*($A211-H$4)/(I$4-H$4),0),0)</f>
        <v>0</v>
      </c>
      <c r="J211">
        <f t="shared" ref="J211" si="720">IF($A211&gt;I$4,IF($A211&lt;=J$4,I$6+(J$6-I$6)*($A211-I$4)/(J$4-I$4),0),0)</f>
        <v>0</v>
      </c>
      <c r="K211">
        <f t="shared" ref="K211" si="721">IF($A211&gt;J$4,IF($A211&lt;=K$4,J$6+(K$6-J$6)*($A211-J$4)/(K$4-J$4),0),0)</f>
        <v>0</v>
      </c>
      <c r="L211">
        <f>IF($A211&gt;K$4,IF($A211&lt;=L$4,K$6+(L$6-K$6)*($A211-K$4)/(L$4-K$4),L$6),0)</f>
        <v>0</v>
      </c>
      <c r="M211" s="34">
        <f t="shared" si="688"/>
        <v>4.0310637856474134</v>
      </c>
    </row>
    <row r="212" spans="1:13" x14ac:dyDescent="0.25">
      <c r="A212" s="57" t="s">
        <v>83</v>
      </c>
      <c r="B212" t="s">
        <v>71</v>
      </c>
      <c r="C212">
        <f>IF($A213&lt;=C$4,C$5,0)</f>
        <v>0</v>
      </c>
      <c r="D212">
        <f>IF($A213&gt;C$4,IF($A213&lt;=D$4,C$5+(D$5-C$5)*($A213-C$4)/(D$4-C$4),0),0)</f>
        <v>0</v>
      </c>
      <c r="E212">
        <f>IF($A213&gt;D$4,IF($A213&lt;=E$4,D$5+(E$5-D$5)*($A213-D$4)/(E$4-D$4),0),0)</f>
        <v>0</v>
      </c>
      <c r="F212">
        <f t="shared" ref="F212" si="722">IF($A213&gt;E$4,IF($A213&lt;=F$4,E$5+(F$5-E$5)*($A213-E$4)/(F$4-E$4),0),0)</f>
        <v>0</v>
      </c>
      <c r="G212">
        <f t="shared" ref="G212" si="723">IF($A213&gt;F$4,IF($A213&lt;=G$4,F$5+(G$5-F$5)*($A213-F$4)/(G$4-F$4),0),0)</f>
        <v>0</v>
      </c>
      <c r="H212">
        <f t="shared" ref="H212" si="724">IF($A213&gt;G$4,IF($A213&lt;=H$4,G$5+(H$5-G$5)*($A213-G$4)/(H$4-G$4),0),0)</f>
        <v>12.027377791450412</v>
      </c>
      <c r="I212">
        <f t="shared" ref="I212" si="725">IF($A213&gt;H$4,IF($A213&lt;=I$4,H$5+(I$5-H$5)*($A213-H$4)/(I$4-H$4),0),0)</f>
        <v>0</v>
      </c>
      <c r="J212">
        <f t="shared" ref="J212" si="726">IF($A213&gt;I$4,IF($A213&lt;=J$4,I$5+(J$5-I$5)*($A213-I$4)/(J$4-I$4),0),0)</f>
        <v>0</v>
      </c>
      <c r="K212">
        <f t="shared" ref="K212" si="727">IF($A213&gt;J$4,IF($A213&lt;=K$4,J$5+(K$5-J$5)*($A213-J$4)/(K$4-J$4),0),0)</f>
        <v>0</v>
      </c>
      <c r="L212">
        <f>IF($A213&gt;K$4,IF($A213&lt;=L$4,K$5+(L$5-K$5)*($A213-K$4)/(L$4-K$4),L$5),0)</f>
        <v>0</v>
      </c>
      <c r="M212" s="32">
        <f t="shared" si="688"/>
        <v>12.027377791450412</v>
      </c>
    </row>
    <row r="213" spans="1:13" ht="15.75" thickBot="1" x14ac:dyDescent="0.3">
      <c r="A213">
        <f>F204</f>
        <v>2.0840621593281061</v>
      </c>
      <c r="B213" t="s">
        <v>72</v>
      </c>
      <c r="C213">
        <f>IF($A213&lt;=C$4,C$6,0)</f>
        <v>0</v>
      </c>
      <c r="D213">
        <f>IF($A213&gt;C$4,IF($A213&lt;=D$4,C$6+(D$6-C$6)*($A213-C$4)/(D$4-C$4),0),0)</f>
        <v>0</v>
      </c>
      <c r="E213">
        <f t="shared" ref="E213" si="728">IF($A213&gt;D$4,IF($A213&lt;=E$4,D$6+(E$6-D$6)*($A213-D$4)/(E$4-D$4),0),0)</f>
        <v>0</v>
      </c>
      <c r="F213">
        <f t="shared" ref="F213" si="729">IF($A213&gt;E$4,IF($A213&lt;=F$4,E$6+(F$6-E$6)*($A213-E$4)/(F$4-E$4),0),0)</f>
        <v>0</v>
      </c>
      <c r="G213">
        <f t="shared" ref="G213" si="730">IF($A213&gt;F$4,IF($A213&lt;=G$4,F$6+(G$6-F$6)*($A213-F$4)/(G$4-F$4),0),0)</f>
        <v>0</v>
      </c>
      <c r="H213">
        <f t="shared" ref="H213" si="731">IF($A213&gt;G$4,IF($A213&lt;=H$4,G$6+(H$6-G$6)*($A213-G$4)/(H$4-G$4),0),0)</f>
        <v>4.3904888341983535</v>
      </c>
      <c r="I213">
        <f t="shared" ref="I213" si="732">IF($A213&gt;H$4,IF($A213&lt;=I$4,H$6+(I$6-H$6)*($A213-H$4)/(I$4-H$4),0),0)</f>
        <v>0</v>
      </c>
      <c r="J213">
        <f t="shared" ref="J213" si="733">IF($A213&gt;I$4,IF($A213&lt;=J$4,I$6+(J$6-I$6)*($A213-I$4)/(J$4-I$4),0),0)</f>
        <v>0</v>
      </c>
      <c r="K213">
        <f t="shared" ref="K213" si="734">IF($A213&gt;J$4,IF($A213&lt;=K$4,J$6+(K$6-J$6)*($A213-J$4)/(K$4-J$4),0),0)</f>
        <v>0</v>
      </c>
      <c r="L213">
        <f>IF($A213&gt;K$4,IF($A213&lt;=L$4,K$6+(L$6-K$6)*($A213-K$4)/(L$4-K$4),L$6),0)</f>
        <v>0</v>
      </c>
      <c r="M213" s="34">
        <f t="shared" si="688"/>
        <v>4.3904888341983535</v>
      </c>
    </row>
    <row r="214" spans="1:13" x14ac:dyDescent="0.25">
      <c r="A214" s="57" t="s">
        <v>84</v>
      </c>
      <c r="B214" t="s">
        <v>71</v>
      </c>
      <c r="C214">
        <f>IF($A215&lt;=C$4,C$5,0)</f>
        <v>0</v>
      </c>
      <c r="D214">
        <f>IF($A215&gt;C$4,IF($A215&lt;=D$4,C$5+(D$5-C$5)*($A215-C$4)/(D$4-C$4),0),0)</f>
        <v>0</v>
      </c>
      <c r="E214">
        <f>IF($A215&gt;D$4,IF($A215&lt;=E$4,D$5+(E$5-D$5)*($A215-D$4)/(E$4-D$4),0),0)</f>
        <v>0</v>
      </c>
      <c r="F214">
        <f t="shared" ref="F214" si="735">IF($A215&gt;E$4,IF($A215&lt;=F$4,E$5+(F$5-E$5)*($A215-E$4)/(F$4-E$4),0),0)</f>
        <v>0</v>
      </c>
      <c r="G214">
        <f t="shared" ref="G214" si="736">IF($A215&gt;F$4,IF($A215&lt;=G$4,F$5+(G$5-F$5)*($A215-F$4)/(G$4-F$4),0),0)</f>
        <v>0</v>
      </c>
      <c r="H214">
        <f t="shared" ref="H214" si="737">IF($A215&gt;G$4,IF($A215&lt;=H$4,G$5+(H$5-G$5)*($A215-G$4)/(H$4-G$4),0),0)</f>
        <v>0</v>
      </c>
      <c r="I214">
        <f t="shared" ref="I214" si="738">IF($A215&gt;H$4,IF($A215&lt;=I$4,H$5+(I$5-H$5)*($A215-H$4)/(I$4-H$4),0),0)</f>
        <v>12</v>
      </c>
      <c r="J214">
        <f t="shared" ref="J214" si="739">IF($A215&gt;I$4,IF($A215&lt;=J$4,I$5+(J$5-I$5)*($A215-I$4)/(J$4-I$4),0),0)</f>
        <v>0</v>
      </c>
      <c r="K214">
        <f t="shared" ref="K214" si="740">IF($A215&gt;J$4,IF($A215&lt;=K$4,J$5+(K$5-J$5)*($A215-J$4)/(K$4-J$4),0),0)</f>
        <v>0</v>
      </c>
      <c r="L214">
        <f>IF($A215&gt;K$4,IF($A215&lt;=L$4,K$5+(L$5-K$5)*($A215-K$4)/(L$4-K$4),L$5),0)</f>
        <v>0</v>
      </c>
      <c r="M214" s="32">
        <f t="shared" si="688"/>
        <v>12</v>
      </c>
    </row>
    <row r="215" spans="1:13" ht="15.75" thickBot="1" x14ac:dyDescent="0.3">
      <c r="A215">
        <f>G204</f>
        <v>2.6206535739510386</v>
      </c>
      <c r="B215" t="s">
        <v>72</v>
      </c>
      <c r="C215">
        <f>IF($A215&lt;=C$4,C$6,0)</f>
        <v>0</v>
      </c>
      <c r="D215">
        <f>IF($A215&gt;C$4,IF($A215&lt;=D$4,C$6+(D$6-C$6)*($A215-C$4)/(D$4-C$4),0),0)</f>
        <v>0</v>
      </c>
      <c r="E215">
        <f t="shared" ref="E215" si="741">IF($A215&gt;D$4,IF($A215&lt;=E$4,D$6+(E$6-D$6)*($A215-D$4)/(E$4-D$4),0),0)</f>
        <v>0</v>
      </c>
      <c r="F215">
        <f t="shared" ref="F215" si="742">IF($A215&gt;E$4,IF($A215&lt;=F$4,E$6+(F$6-E$6)*($A215-E$4)/(F$4-E$4),0),0)</f>
        <v>0</v>
      </c>
      <c r="G215">
        <f t="shared" ref="G215" si="743">IF($A215&gt;F$4,IF($A215&lt;=G$4,F$6+(G$6-F$6)*($A215-F$4)/(G$4-F$4),0),0)</f>
        <v>0</v>
      </c>
      <c r="H215">
        <f t="shared" ref="H215" si="744">IF($A215&gt;G$4,IF($A215&lt;=H$4,G$6+(H$6-G$6)*($A215-G$4)/(H$4-G$4),0),0)</f>
        <v>0</v>
      </c>
      <c r="I215">
        <f t="shared" ref="I215" si="745">IF($A215&gt;H$4,IF($A215&lt;=I$4,H$6+(I$6-H$6)*($A215-H$4)/(I$4-H$4),0),0)</f>
        <v>5.1159803609265584</v>
      </c>
      <c r="J215">
        <f t="shared" ref="J215" si="746">IF($A215&gt;I$4,IF($A215&lt;=J$4,I$6+(J$6-I$6)*($A215-I$4)/(J$4-I$4),0),0)</f>
        <v>0</v>
      </c>
      <c r="K215">
        <f t="shared" ref="K215" si="747">IF($A215&gt;J$4,IF($A215&lt;=K$4,J$6+(K$6-J$6)*($A215-J$4)/(K$4-J$4),0),0)</f>
        <v>0</v>
      </c>
      <c r="L215">
        <f>IF($A215&gt;K$4,IF($A215&lt;=L$4,K$6+(L$6-K$6)*($A215-K$4)/(L$4-K$4),L$6),0)</f>
        <v>0</v>
      </c>
      <c r="M215" s="34">
        <f t="shared" si="688"/>
        <v>5.1159803609265584</v>
      </c>
    </row>
    <row r="216" spans="1:13" x14ac:dyDescent="0.25">
      <c r="A216" s="57" t="s">
        <v>85</v>
      </c>
      <c r="B216" t="s">
        <v>71</v>
      </c>
      <c r="C216">
        <f>IF($A217&lt;=C$4,C$5,0)</f>
        <v>0</v>
      </c>
      <c r="D216">
        <f>IF($A217&gt;C$4,IF($A217&lt;=D$4,C$5+(D$5-C$5)*($A217-C$4)/(D$4-C$4),0),0)</f>
        <v>0</v>
      </c>
      <c r="E216">
        <f>IF($A217&gt;D$4,IF($A217&lt;=E$4,D$5+(E$5-D$5)*($A217-D$4)/(E$4-D$4),0),0)</f>
        <v>0</v>
      </c>
      <c r="F216">
        <f t="shared" ref="F216" si="748">IF($A217&gt;E$4,IF($A217&lt;=F$4,E$5+(F$5-E$5)*($A217-E$4)/(F$4-E$4),0),0)</f>
        <v>0</v>
      </c>
      <c r="G216">
        <f t="shared" ref="G216" si="749">IF($A217&gt;F$4,IF($A217&lt;=G$4,F$5+(G$5-F$5)*($A217-F$4)/(G$4-F$4),0),0)</f>
        <v>0</v>
      </c>
      <c r="H216">
        <f t="shared" ref="H216" si="750">IF($A217&gt;G$4,IF($A217&lt;=H$4,G$5+(H$5-G$5)*($A217-G$4)/(H$4-G$4),0),0)</f>
        <v>0</v>
      </c>
      <c r="I216">
        <f t="shared" ref="I216" si="751">IF($A217&gt;H$4,IF($A217&lt;=I$4,H$5+(I$5-H$5)*($A217-H$4)/(I$4-H$4),0),0)</f>
        <v>0</v>
      </c>
      <c r="J216">
        <f t="shared" ref="J216" si="752">IF($A217&gt;I$4,IF($A217&lt;=J$4,I$5+(J$5-I$5)*($A217-I$4)/(J$4-I$4),0),0)</f>
        <v>11.954010283003798</v>
      </c>
      <c r="K216">
        <f t="shared" ref="K216" si="753">IF($A217&gt;J$4,IF($A217&lt;=K$4,J$5+(K$5-J$5)*($A217-J$4)/(K$4-J$4),0),0)</f>
        <v>0</v>
      </c>
      <c r="L216">
        <f>IF($A217&gt;K$4,IF($A217&lt;=L$4,K$5+(L$5-K$5)*($A217-K$4)/(L$4-K$4),L$5),0)</f>
        <v>0</v>
      </c>
      <c r="M216" s="32">
        <f t="shared" si="688"/>
        <v>11.954010283003798</v>
      </c>
    </row>
    <row r="217" spans="1:13" ht="15.75" thickBot="1" x14ac:dyDescent="0.3">
      <c r="A217">
        <f>H204</f>
        <v>3.2652981982623994</v>
      </c>
      <c r="B217" t="s">
        <v>72</v>
      </c>
      <c r="C217">
        <f>IF($A217&lt;=C$4,C$6,0)</f>
        <v>0</v>
      </c>
      <c r="D217">
        <f>IF($A217&gt;C$4,IF($A217&lt;=D$4,C$6+(D$6-C$6)*($A217-C$4)/(D$4-C$4),0),0)</f>
        <v>0</v>
      </c>
      <c r="E217">
        <f t="shared" ref="E217" si="754">IF($A217&gt;D$4,IF($A217&lt;=E$4,D$6+(E$6-D$6)*($A217-D$4)/(E$4-D$4),0),0)</f>
        <v>0</v>
      </c>
      <c r="F217">
        <f t="shared" ref="F217" si="755">IF($A217&gt;E$4,IF($A217&lt;=F$4,E$6+(F$6-E$6)*($A217-E$4)/(F$4-E$4),0),0)</f>
        <v>0</v>
      </c>
      <c r="G217">
        <f t="shared" ref="G217" si="756">IF($A217&gt;F$4,IF($A217&lt;=G$4,F$6+(G$6-F$6)*($A217-F$4)/(G$4-F$4),0),0)</f>
        <v>0</v>
      </c>
      <c r="H217">
        <f t="shared" ref="H217" si="757">IF($A217&gt;G$4,IF($A217&lt;=H$4,G$6+(H$6-G$6)*($A217-G$4)/(H$4-G$4),0),0)</f>
        <v>0</v>
      </c>
      <c r="I217">
        <f t="shared" ref="I217" si="758">IF($A217&gt;H$4,IF($A217&lt;=I$4,H$6+(I$6-H$6)*($A217-H$4)/(I$4-H$4),0),0)</f>
        <v>0</v>
      </c>
      <c r="J217">
        <f t="shared" ref="J217" si="759">IF($A217&gt;I$4,IF($A217&lt;=J$4,I$6+(J$6-I$6)*($A217-I$4)/(J$4-I$4),0),0)</f>
        <v>5.8598971699620197</v>
      </c>
      <c r="K217">
        <f t="shared" ref="K217" si="760">IF($A217&gt;J$4,IF($A217&lt;=K$4,J$6+(K$6-J$6)*($A217-J$4)/(K$4-J$4),0),0)</f>
        <v>0</v>
      </c>
      <c r="L217">
        <f>IF($A217&gt;K$4,IF($A217&lt;=L$4,K$6+(L$6-K$6)*($A217-K$4)/(L$4-K$4),L$6),0)</f>
        <v>0</v>
      </c>
      <c r="M217" s="34">
        <f t="shared" si="688"/>
        <v>5.8598971699620197</v>
      </c>
    </row>
    <row r="218" spans="1:13" x14ac:dyDescent="0.25">
      <c r="A218" s="57" t="s">
        <v>86</v>
      </c>
      <c r="B218" t="s">
        <v>71</v>
      </c>
      <c r="C218">
        <f>IF($A219&lt;=C$4,C$5,0)</f>
        <v>0</v>
      </c>
      <c r="D218">
        <f>IF($A219&gt;C$4,IF($A219&lt;=D$4,C$5+(D$5-C$5)*($A219-C$4)/(D$4-C$4),0),0)</f>
        <v>0</v>
      </c>
      <c r="E218">
        <f>IF($A219&gt;D$4,IF($A219&lt;=E$4,D$5+(E$5-D$5)*($A219-D$4)/(E$4-D$4),0),0)</f>
        <v>0</v>
      </c>
      <c r="F218">
        <f t="shared" ref="F218" si="761">IF($A219&gt;E$4,IF($A219&lt;=F$4,E$5+(F$5-E$5)*($A219-E$4)/(F$4-E$4),0),0)</f>
        <v>0</v>
      </c>
      <c r="G218">
        <f t="shared" ref="G218" si="762">IF($A219&gt;F$4,IF($A219&lt;=G$4,F$5+(G$5-F$5)*($A219-F$4)/(G$4-F$4),0),0)</f>
        <v>0</v>
      </c>
      <c r="H218">
        <f t="shared" ref="H218" si="763">IF($A219&gt;G$4,IF($A219&lt;=H$4,G$5+(H$5-G$5)*($A219-G$4)/(H$4-G$4),0),0)</f>
        <v>0</v>
      </c>
      <c r="I218">
        <f t="shared" ref="I218" si="764">IF($A219&gt;H$4,IF($A219&lt;=I$4,H$5+(I$5-H$5)*($A219-H$4)/(I$4-H$4),0),0)</f>
        <v>0</v>
      </c>
      <c r="J218">
        <f t="shared" ref="J218" si="765">IF($A219&gt;I$4,IF($A219&lt;=J$4,I$5+(J$5-I$5)*($A219-I$4)/(J$4-I$4),0),0)</f>
        <v>0</v>
      </c>
      <c r="K218">
        <f t="shared" ref="K218" si="766">IF($A219&gt;J$4,IF($A219&lt;=K$4,J$5+(K$5-J$5)*($A219-J$4)/(K$4-J$4),0),0)</f>
        <v>11.876686369068011</v>
      </c>
      <c r="L218">
        <f>IF($A219&gt;K$4,IF($A219&lt;=L$4,K$5+(L$5-K$5)*($A219-K$4)/(L$4-K$4),L$5),0)</f>
        <v>0</v>
      </c>
      <c r="M218" s="32">
        <f t="shared" si="688"/>
        <v>11.876686369068011</v>
      </c>
    </row>
    <row r="219" spans="1:13" ht="15.75" thickBot="1" x14ac:dyDescent="0.3">
      <c r="A219">
        <f>I204</f>
        <v>4.0587813033450768</v>
      </c>
      <c r="B219" t="s">
        <v>72</v>
      </c>
      <c r="C219">
        <f>IF($A219&lt;=C$4,C$6,0)</f>
        <v>0</v>
      </c>
      <c r="D219">
        <f>IF($A219&gt;C$4,IF($A219&lt;=D$4,C$6+(D$6-C$6)*($A219-C$4)/(D$4-C$4),0),0)</f>
        <v>0</v>
      </c>
      <c r="E219">
        <f t="shared" ref="E219" si="767">IF($A219&gt;D$4,IF($A219&lt;=E$4,D$6+(E$6-D$6)*($A219-D$4)/(E$4-D$4),0),0)</f>
        <v>0</v>
      </c>
      <c r="F219">
        <f t="shared" ref="F219" si="768">IF($A219&gt;E$4,IF($A219&lt;=F$4,E$6+(F$6-E$6)*($A219-E$4)/(F$4-E$4),0),0)</f>
        <v>0</v>
      </c>
      <c r="G219">
        <f t="shared" ref="G219" si="769">IF($A219&gt;F$4,IF($A219&lt;=G$4,F$6+(G$6-F$6)*($A219-F$4)/(G$4-F$4),0),0)</f>
        <v>0</v>
      </c>
      <c r="H219">
        <f t="shared" ref="H219" si="770">IF($A219&gt;G$4,IF($A219&lt;=H$4,G$6+(H$6-G$6)*($A219-G$4)/(H$4-G$4),0),0)</f>
        <v>0</v>
      </c>
      <c r="I219">
        <f t="shared" ref="I219" si="771">IF($A219&gt;H$4,IF($A219&lt;=I$4,H$6+(I$6-H$6)*($A219-H$4)/(I$4-H$4),0),0)</f>
        <v>0</v>
      </c>
      <c r="J219">
        <f t="shared" ref="J219" si="772">IF($A219&gt;I$4,IF($A219&lt;=J$4,I$6+(J$6-I$6)*($A219-I$4)/(J$4-I$4),0),0)</f>
        <v>0</v>
      </c>
      <c r="K219">
        <f t="shared" ref="K219" si="773">IF($A219&gt;J$4,IF($A219&lt;=K$4,J$6+(K$6-J$6)*($A219-J$4)/(K$4-J$4),0),0)</f>
        <v>7.0644384815616839</v>
      </c>
      <c r="L219">
        <f>IF($A219&gt;K$4,IF($A219&lt;=L$4,K$6+(L$6-K$6)*($A219-K$4)/(L$4-K$4),L$6),0)</f>
        <v>0</v>
      </c>
      <c r="M219" s="34">
        <f t="shared" si="688"/>
        <v>7.0644384815616839</v>
      </c>
    </row>
    <row r="220" spans="1:13" x14ac:dyDescent="0.25">
      <c r="A220" s="57" t="s">
        <v>87</v>
      </c>
      <c r="B220" t="s">
        <v>71</v>
      </c>
      <c r="C220">
        <f>IF($A221&lt;=C$4,C$5,0)</f>
        <v>0</v>
      </c>
      <c r="D220">
        <f>IF($A221&gt;C$4,IF($A221&lt;=D$4,C$5+(D$5-C$5)*($A221-C$4)/(D$4-C$4),0),0)</f>
        <v>0</v>
      </c>
      <c r="E220">
        <f>IF($A221&gt;D$4,IF($A221&lt;=E$4,D$5+(E$5-D$5)*($A221-D$4)/(E$4-D$4),0),0)</f>
        <v>0</v>
      </c>
      <c r="F220">
        <f t="shared" ref="F220" si="774">IF($A221&gt;E$4,IF($A221&lt;=F$4,E$5+(F$5-E$5)*($A221-E$4)/(F$4-E$4),0),0)</f>
        <v>0</v>
      </c>
      <c r="G220">
        <f t="shared" ref="G220" si="775">IF($A221&gt;F$4,IF($A221&lt;=G$4,F$5+(G$5-F$5)*($A221-F$4)/(G$4-F$4),0),0)</f>
        <v>0</v>
      </c>
      <c r="H220">
        <f t="shared" ref="H220" si="776">IF($A221&gt;G$4,IF($A221&lt;=H$4,G$5+(H$5-G$5)*($A221-G$4)/(H$4-G$4),0),0)</f>
        <v>0</v>
      </c>
      <c r="I220">
        <f t="shared" ref="I220" si="777">IF($A221&gt;H$4,IF($A221&lt;=I$4,H$5+(I$5-H$5)*($A221-H$4)/(I$4-H$4),0),0)</f>
        <v>0</v>
      </c>
      <c r="J220">
        <f t="shared" ref="J220" si="778">IF($A221&gt;I$4,IF($A221&lt;=J$4,I$5+(J$5-I$5)*($A221-I$4)/(J$4-I$4),0),0)</f>
        <v>0</v>
      </c>
      <c r="K220">
        <f t="shared" ref="K220" si="779">IF($A221&gt;J$4,IF($A221&lt;=K$4,J$5+(K$5-J$5)*($A221-J$4)/(K$4-J$4),0),0)</f>
        <v>0</v>
      </c>
      <c r="L220">
        <f>IF($A221&gt;K$4,IF($A221&lt;=L$4,K$5+(L$5-K$5)*($A221-K$4)/(L$4-K$4),L$5),0)</f>
        <v>11.794758619841602</v>
      </c>
      <c r="M220" s="32">
        <f t="shared" si="688"/>
        <v>11.794758619841602</v>
      </c>
    </row>
    <row r="221" spans="1:13" ht="15.75" thickBot="1" x14ac:dyDescent="0.3">
      <c r="A221">
        <f>J204</f>
        <v>5.0572827824509927</v>
      </c>
      <c r="B221" t="s">
        <v>72</v>
      </c>
      <c r="C221">
        <f>IF($A221&lt;=C$4,C$6,0)</f>
        <v>0</v>
      </c>
      <c r="D221">
        <f>IF($A221&gt;C$4,IF($A221&lt;=D$4,C$6+(D$6-C$6)*($A221-C$4)/(D$4-C$4),0),0)</f>
        <v>0</v>
      </c>
      <c r="E221">
        <f t="shared" ref="E221" si="780">IF($A221&gt;D$4,IF($A221&lt;=E$4,D$6+(E$6-D$6)*($A221-D$4)/(E$4-D$4),0),0)</f>
        <v>0</v>
      </c>
      <c r="F221">
        <f t="shared" ref="F221" si="781">IF($A221&gt;E$4,IF($A221&lt;=F$4,E$6+(F$6-E$6)*($A221-E$4)/(F$4-E$4),0),0)</f>
        <v>0</v>
      </c>
      <c r="G221">
        <f t="shared" ref="G221" si="782">IF($A221&gt;F$4,IF($A221&lt;=G$4,F$6+(G$6-F$6)*($A221-F$4)/(G$4-F$4),0),0)</f>
        <v>0</v>
      </c>
      <c r="H221">
        <f t="shared" ref="H221" si="783">IF($A221&gt;G$4,IF($A221&lt;=H$4,G$6+(H$6-G$6)*($A221-G$4)/(H$4-G$4),0),0)</f>
        <v>0</v>
      </c>
      <c r="I221">
        <f t="shared" ref="I221" si="784">IF($A221&gt;H$4,IF($A221&lt;=I$4,H$6+(I$6-H$6)*($A221-H$4)/(I$4-H$4),0),0)</f>
        <v>0</v>
      </c>
      <c r="J221">
        <f t="shared" ref="J221" si="785">IF($A221&gt;I$4,IF($A221&lt;=J$4,I$6+(J$6-I$6)*($A221-I$4)/(J$4-I$4),0),0)</f>
        <v>0</v>
      </c>
      <c r="K221">
        <f t="shared" ref="K221" si="786">IF($A221&gt;J$4,IF($A221&lt;=K$4,J$6+(K$6-J$6)*($A221-J$4)/(K$4-J$4),0),0)</f>
        <v>0</v>
      </c>
      <c r="L221">
        <f>IF($A221&gt;K$4,IF($A221&lt;=L$4,K$6+(L$6-K$6)*($A221-K$4)/(L$4-K$4),L$6),0)</f>
        <v>9.478000036890327</v>
      </c>
      <c r="M221" s="34">
        <f t="shared" si="688"/>
        <v>9.478000036890327</v>
      </c>
    </row>
    <row r="222" spans="1:13" x14ac:dyDescent="0.25">
      <c r="A222" s="57" t="s">
        <v>88</v>
      </c>
      <c r="B222" t="s">
        <v>71</v>
      </c>
      <c r="C222">
        <f>IF($A223&lt;=C$4,C$5,0)</f>
        <v>0</v>
      </c>
      <c r="D222">
        <f>IF($A223&gt;C$4,IF($A223&lt;=D$4,C$5+(D$5-C$5)*($A223-C$4)/(D$4-C$4),0),0)</f>
        <v>0</v>
      </c>
      <c r="E222">
        <f>IF($A223&gt;D$4,IF($A223&lt;=E$4,D$5+(E$5-D$5)*($A223-D$4)/(E$4-D$4),0),0)</f>
        <v>0</v>
      </c>
      <c r="F222">
        <f t="shared" ref="F222" si="787">IF($A223&gt;E$4,IF($A223&lt;=F$4,E$5+(F$5-E$5)*($A223-E$4)/(F$4-E$4),0),0)</f>
        <v>0</v>
      </c>
      <c r="G222">
        <f t="shared" ref="G222" si="788">IF($A223&gt;F$4,IF($A223&lt;=G$4,F$5+(G$5-F$5)*($A223-F$4)/(G$4-F$4),0),0)</f>
        <v>0</v>
      </c>
      <c r="H222">
        <f t="shared" ref="H222" si="789">IF($A223&gt;G$4,IF($A223&lt;=H$4,G$5+(H$5-G$5)*($A223-G$4)/(H$4-G$4),0),0)</f>
        <v>0</v>
      </c>
      <c r="I222">
        <f t="shared" ref="I222" si="790">IF($A223&gt;H$4,IF($A223&lt;=I$4,H$5+(I$5-H$5)*($A223-H$4)/(I$4-H$4),0),0)</f>
        <v>0</v>
      </c>
      <c r="J222">
        <f t="shared" ref="J222" si="791">IF($A223&gt;I$4,IF($A223&lt;=J$4,I$5+(J$5-I$5)*($A223-I$4)/(J$4-I$4),0),0)</f>
        <v>0</v>
      </c>
      <c r="K222">
        <f t="shared" ref="K222" si="792">IF($A223&gt;J$4,IF($A223&lt;=K$4,J$5+(K$5-J$5)*($A223-J$4)/(K$4-J$4),0),0)</f>
        <v>0</v>
      </c>
      <c r="L222">
        <f>IF($A223&gt;K$4,IF($A223&lt;=L$4,K$5+(L$5-K$5)*($A223-K$4)/(L$4-K$4),L$5),0)</f>
        <v>11.749174806591371</v>
      </c>
      <c r="M222" s="32">
        <f t="shared" si="688"/>
        <v>11.749174806591371</v>
      </c>
    </row>
    <row r="223" spans="1:13" ht="15.75" thickBot="1" x14ac:dyDescent="0.3">
      <c r="A223">
        <f>K204</f>
        <v>6.3381879347824714</v>
      </c>
      <c r="B223" t="s">
        <v>72</v>
      </c>
      <c r="C223">
        <f>IF($A223&lt;=C$4,C$6,0)</f>
        <v>0</v>
      </c>
      <c r="D223">
        <f>IF($A223&gt;C$4,IF($A223&lt;=D$4,C$6+(D$6-C$6)*($A223-C$4)/(D$4-C$4),0),0)</f>
        <v>0</v>
      </c>
      <c r="E223">
        <f t="shared" ref="E223" si="793">IF($A223&gt;D$4,IF($A223&lt;=E$4,D$6+(E$6-D$6)*($A223-D$4)/(E$4-D$4),0),0)</f>
        <v>0</v>
      </c>
      <c r="F223">
        <f t="shared" ref="F223" si="794">IF($A223&gt;E$4,IF($A223&lt;=F$4,E$6+(F$6-E$6)*($A223-E$4)/(F$4-E$4),0),0)</f>
        <v>0</v>
      </c>
      <c r="G223">
        <f t="shared" ref="G223" si="795">IF($A223&gt;F$4,IF($A223&lt;=G$4,F$6+(G$6-F$6)*($A223-F$4)/(G$4-F$4),0),0)</f>
        <v>0</v>
      </c>
      <c r="H223">
        <f t="shared" ref="H223" si="796">IF($A223&gt;G$4,IF($A223&lt;=H$4,G$6+(H$6-G$6)*($A223-G$4)/(H$4-G$4),0),0)</f>
        <v>0</v>
      </c>
      <c r="I223">
        <f t="shared" ref="I223" si="797">IF($A223&gt;H$4,IF($A223&lt;=I$4,H$6+(I$6-H$6)*($A223-H$4)/(I$4-H$4),0),0)</f>
        <v>0</v>
      </c>
      <c r="J223">
        <f t="shared" ref="J223" si="798">IF($A223&gt;I$4,IF($A223&lt;=J$4,I$6+(J$6-I$6)*($A223-I$4)/(J$4-I$4),0),0)</f>
        <v>0</v>
      </c>
      <c r="K223">
        <f t="shared" ref="K223" si="799">IF($A223&gt;J$4,IF($A223&lt;=K$4,J$6+(K$6-J$6)*($A223-J$4)/(K$4-J$4),0),0)</f>
        <v>0</v>
      </c>
      <c r="L223">
        <f>IF($A223&gt;K$4,IF($A223&lt;=L$4,K$6+(L$6-K$6)*($A223-K$4)/(L$4-K$4),L$6),0)</f>
        <v>11.460895913275357</v>
      </c>
      <c r="M223" s="34">
        <f t="shared" si="688"/>
        <v>11.460895913275357</v>
      </c>
    </row>
    <row r="224" spans="1:13" x14ac:dyDescent="0.25">
      <c r="A224" s="57" t="s">
        <v>89</v>
      </c>
      <c r="B224" t="s">
        <v>71</v>
      </c>
      <c r="C224">
        <f>IF($A225&lt;=C$4,C$5,0)</f>
        <v>0</v>
      </c>
      <c r="D224">
        <f>IF($A225&gt;C$4,IF($A225&lt;=D$4,C$5+(D$5-C$5)*($A225-C$4)/(D$4-C$4),0),0)</f>
        <v>0</v>
      </c>
      <c r="E224">
        <f>IF($A225&gt;D$4,IF($A225&lt;=E$4,D$5+(E$5-D$5)*($A225-D$4)/(E$4-D$4),0),0)</f>
        <v>0</v>
      </c>
      <c r="F224">
        <f t="shared" ref="F224" si="800">IF($A225&gt;E$4,IF($A225&lt;=F$4,E$5+(F$5-E$5)*($A225-E$4)/(F$4-E$4),0),0)</f>
        <v>0</v>
      </c>
      <c r="G224">
        <f t="shared" ref="G224" si="801">IF($A225&gt;F$4,IF($A225&lt;=G$4,F$5+(G$5-F$5)*($A225-F$4)/(G$4-F$4),0),0)</f>
        <v>0</v>
      </c>
      <c r="H224">
        <f t="shared" ref="H224" si="802">IF($A225&gt;G$4,IF($A225&lt;=H$4,G$5+(H$5-G$5)*($A225-G$4)/(H$4-G$4),0),0)</f>
        <v>0</v>
      </c>
      <c r="I224">
        <f t="shared" ref="I224" si="803">IF($A225&gt;H$4,IF($A225&lt;=I$4,H$5+(I$5-H$5)*($A225-H$4)/(I$4-H$4),0),0)</f>
        <v>0</v>
      </c>
      <c r="J224">
        <f t="shared" ref="J224" si="804">IF($A225&gt;I$4,IF($A225&lt;=J$4,I$5+(J$5-I$5)*($A225-I$4)/(J$4-I$4),0),0)</f>
        <v>0</v>
      </c>
      <c r="K224">
        <f t="shared" ref="K224" si="805">IF($A225&gt;J$4,IF($A225&lt;=K$4,J$5+(K$5-J$5)*($A225-J$4)/(K$4-J$4),0),0)</f>
        <v>0</v>
      </c>
      <c r="L224">
        <f>IF($A225&gt;K$4,IF($A225&lt;=L$4,K$5+(L$5-K$5)*($A225-K$4)/(L$4-K$4),L$5),0)</f>
        <v>11.7</v>
      </c>
      <c r="M224" s="32">
        <f t="shared" si="688"/>
        <v>11.7</v>
      </c>
    </row>
    <row r="225" spans="1:13" ht="15.75" thickBot="1" x14ac:dyDescent="0.3">
      <c r="A225">
        <f>L204</f>
        <v>8.0080915611836563</v>
      </c>
      <c r="B225" t="s">
        <v>72</v>
      </c>
      <c r="C225">
        <f>IF($A225&lt;=C$4,C$6,0)</f>
        <v>0</v>
      </c>
      <c r="D225">
        <f>IF($A225&gt;C$4,IF($A225&lt;=D$4,C$6+(D$6-C$6)*($A225-C$4)/(D$4-C$4),0),0)</f>
        <v>0</v>
      </c>
      <c r="E225">
        <f t="shared" ref="E225" si="806">IF($A225&gt;D$4,IF($A225&lt;=E$4,D$6+(E$6-D$6)*($A225-D$4)/(E$4-D$4),0),0)</f>
        <v>0</v>
      </c>
      <c r="F225">
        <f t="shared" ref="F225" si="807">IF($A225&gt;E$4,IF($A225&lt;=F$4,E$6+(F$6-E$6)*($A225-E$4)/(F$4-E$4),0),0)</f>
        <v>0</v>
      </c>
      <c r="G225">
        <f t="shared" ref="G225" si="808">IF($A225&gt;F$4,IF($A225&lt;=G$4,F$6+(G$6-F$6)*($A225-F$4)/(G$4-F$4),0),0)</f>
        <v>0</v>
      </c>
      <c r="H225">
        <f t="shared" ref="H225" si="809">IF($A225&gt;G$4,IF($A225&lt;=H$4,G$6+(H$6-G$6)*($A225-G$4)/(H$4-G$4),0),0)</f>
        <v>0</v>
      </c>
      <c r="I225">
        <f t="shared" ref="I225" si="810">IF($A225&gt;H$4,IF($A225&lt;=I$4,H$6+(I$6-H$6)*($A225-H$4)/(I$4-H$4),0),0)</f>
        <v>0</v>
      </c>
      <c r="J225">
        <f t="shared" ref="J225" si="811">IF($A225&gt;I$4,IF($A225&lt;=J$4,I$6+(J$6-I$6)*($A225-I$4)/(J$4-I$4),0),0)</f>
        <v>0</v>
      </c>
      <c r="K225">
        <f t="shared" ref="K225" si="812">IF($A225&gt;J$4,IF($A225&lt;=K$4,J$6+(K$6-J$6)*($A225-J$4)/(K$4-J$4),0),0)</f>
        <v>0</v>
      </c>
      <c r="L225">
        <f>IF($A225&gt;K$4,IF($A225&lt;=L$4,K$6+(L$6-K$6)*($A225-K$4)/(L$4-K$4),L$6),0)</f>
        <v>13.6</v>
      </c>
      <c r="M225" s="34">
        <f t="shared" si="688"/>
        <v>13.6</v>
      </c>
    </row>
    <row r="227" spans="1:13" x14ac:dyDescent="0.25">
      <c r="B227" t="s">
        <v>90</v>
      </c>
    </row>
    <row r="228" spans="1:13" ht="15.75" thickBot="1" x14ac:dyDescent="0.3">
      <c r="C228" s="25">
        <v>1</v>
      </c>
      <c r="D228" s="25">
        <v>2</v>
      </c>
      <c r="E228" s="25">
        <v>3</v>
      </c>
      <c r="F228" s="25">
        <v>4</v>
      </c>
      <c r="G228" s="25">
        <v>5</v>
      </c>
      <c r="H228" s="25">
        <v>6</v>
      </c>
      <c r="I228" s="25">
        <v>7</v>
      </c>
      <c r="J228" s="25">
        <v>8</v>
      </c>
      <c r="K228" s="25">
        <v>9</v>
      </c>
      <c r="L228" s="25">
        <v>10</v>
      </c>
    </row>
    <row r="229" spans="1:13" x14ac:dyDescent="0.25">
      <c r="B229" t="s">
        <v>71</v>
      </c>
      <c r="C229" s="58">
        <f>M206</f>
        <v>12.4</v>
      </c>
      <c r="D229" s="59">
        <f>M208</f>
        <v>12.259029998439392</v>
      </c>
      <c r="E229" s="59">
        <f>M210</f>
        <v>12.134468107176293</v>
      </c>
      <c r="F229" s="59">
        <f>M212</f>
        <v>12.027377791450412</v>
      </c>
      <c r="G229" s="59">
        <f>M214</f>
        <v>12</v>
      </c>
      <c r="H229" s="59">
        <f>M216</f>
        <v>11.954010283003798</v>
      </c>
      <c r="I229" s="59">
        <f>M218</f>
        <v>11.876686369068011</v>
      </c>
      <c r="J229" s="59">
        <f>M220</f>
        <v>11.794758619841602</v>
      </c>
      <c r="K229" s="59">
        <f>M222</f>
        <v>11.749174806591371</v>
      </c>
      <c r="L229" s="60">
        <f>M224</f>
        <v>11.7</v>
      </c>
    </row>
    <row r="230" spans="1:13" ht="15.75" thickBot="1" x14ac:dyDescent="0.3">
      <c r="B230" t="s">
        <v>72</v>
      </c>
      <c r="C230" s="52">
        <f>M207</f>
        <v>3.4967539883892949</v>
      </c>
      <c r="D230" s="53">
        <f t="shared" ref="D230" si="813">M209</f>
        <v>3.7819400031212158</v>
      </c>
      <c r="E230" s="53">
        <f>M211</f>
        <v>4.0310637856474134</v>
      </c>
      <c r="F230" s="53">
        <f>M213</f>
        <v>4.3904888341983535</v>
      </c>
      <c r="G230" s="53">
        <f>M215</f>
        <v>5.1159803609265584</v>
      </c>
      <c r="H230" s="53">
        <f>M217</f>
        <v>5.8598971699620197</v>
      </c>
      <c r="I230" s="53">
        <f>M219</f>
        <v>7.0644384815616839</v>
      </c>
      <c r="J230" s="53">
        <f>M221</f>
        <v>9.478000036890327</v>
      </c>
      <c r="K230" s="53">
        <f>M223</f>
        <v>11.460895913275357</v>
      </c>
      <c r="L230" s="54">
        <f>M225</f>
        <v>13.6</v>
      </c>
    </row>
    <row r="231" spans="1:13" x14ac:dyDescent="0.25">
      <c r="B231" t="s">
        <v>161</v>
      </c>
      <c r="C231">
        <f>100-C229-C230</f>
        <v>84.103246011610693</v>
      </c>
      <c r="D231">
        <f t="shared" ref="D231:L231" si="814">100-D229-D230</f>
        <v>83.959029998439391</v>
      </c>
      <c r="E231">
        <f t="shared" si="814"/>
        <v>83.834468107176292</v>
      </c>
      <c r="F231">
        <f t="shared" si="814"/>
        <v>83.58213337435123</v>
      </c>
      <c r="G231">
        <f t="shared" si="814"/>
        <v>82.884019639073443</v>
      </c>
      <c r="H231">
        <f t="shared" si="814"/>
        <v>82.186092547034178</v>
      </c>
      <c r="I231">
        <f t="shared" si="814"/>
        <v>81.058875149370309</v>
      </c>
      <c r="J231">
        <f t="shared" si="814"/>
        <v>78.727241343268076</v>
      </c>
      <c r="K231">
        <f t="shared" si="814"/>
        <v>76.789929280133279</v>
      </c>
      <c r="L231">
        <f t="shared" si="814"/>
        <v>74.7</v>
      </c>
    </row>
    <row r="235" spans="1:13" ht="18.75" x14ac:dyDescent="0.3">
      <c r="B235" s="56">
        <v>2023</v>
      </c>
    </row>
    <row r="236" spans="1:13" x14ac:dyDescent="0.25">
      <c r="C236" s="25">
        <v>1</v>
      </c>
      <c r="D236" s="25">
        <v>2</v>
      </c>
      <c r="E236" s="25">
        <v>3</v>
      </c>
      <c r="F236" s="25">
        <v>4</v>
      </c>
      <c r="G236" s="25">
        <v>5</v>
      </c>
      <c r="H236" s="25">
        <v>6</v>
      </c>
      <c r="I236" s="25">
        <v>7</v>
      </c>
      <c r="J236" s="25">
        <v>8</v>
      </c>
      <c r="K236" s="25">
        <v>9</v>
      </c>
      <c r="L236" s="25">
        <v>10</v>
      </c>
    </row>
    <row r="237" spans="1:13" x14ac:dyDescent="0.25">
      <c r="B237" t="s">
        <v>79</v>
      </c>
      <c r="C237" s="8">
        <f>INDEX(decdoh2023,'матрица расходов'!C236)/расслоение!$M$271</f>
        <v>0.88621932224951683</v>
      </c>
      <c r="D237" s="8">
        <f>INDEX(decdoh2023,'матрица расходов'!D236)/расслоение!$M$271</f>
        <v>1.2538716911146228</v>
      </c>
      <c r="E237" s="8">
        <f>INDEX(decdoh2023,'матрица расходов'!E236)/расслоение!$M$271</f>
        <v>1.6633765008633274</v>
      </c>
      <c r="F237" s="8">
        <f>INDEX(decdoh2023,'матрица расходов'!F236)/расслоение!$M$271</f>
        <v>2.1305311827041997</v>
      </c>
      <c r="G237" s="8">
        <f>INDEX(decdoh2023,'матрица расходов'!G236)/расслоение!$M$271</f>
        <v>2.6770959940877392</v>
      </c>
      <c r="H237" s="8">
        <f>INDEX(decdoh2023,'матрица расходов'!H236)/расслоение!$M$271</f>
        <v>3.3330447198692394</v>
      </c>
      <c r="I237" s="8">
        <f>INDEX(decdoh2023,'матрица расходов'!I236)/расслоение!$M$271</f>
        <v>4.1396649128543261</v>
      </c>
      <c r="J237" s="8">
        <f>INDEX(decdoh2023,'матрица расходов'!J236)/расслоение!$M$271</f>
        <v>5.1538283369829534</v>
      </c>
      <c r="K237" s="8">
        <f>INDEX(decdoh2023,'матрица расходов'!K236)/расслоение!$M$271</f>
        <v>6.4538733124958245</v>
      </c>
      <c r="L237" s="8">
        <f>INDEX(decdoh2023,'матрица расходов'!L236)/расслоение!$M$271</f>
        <v>8.1477073842444412</v>
      </c>
    </row>
    <row r="238" spans="1:13" ht="15.75" thickBot="1" x14ac:dyDescent="0.3"/>
    <row r="239" spans="1:13" x14ac:dyDescent="0.25">
      <c r="A239" s="57" t="s">
        <v>80</v>
      </c>
      <c r="B239" t="s">
        <v>71</v>
      </c>
      <c r="C239">
        <f>IF($A240&lt;=C$4,C$5,0)</f>
        <v>0</v>
      </c>
      <c r="D239">
        <f>IF($A240&gt;C$4,IF($A240&lt;=D$4,C$5+(D$5-C$5)*($A240-C$4)/(D$4-C$4),0),0)</f>
        <v>0</v>
      </c>
      <c r="E239">
        <f>IF($A240&gt;D$4,IF($A240&lt;=E$4,D$5+(E$5-D$5)*($A240-D$4)/(E$4-D$4),0),0)</f>
        <v>12.393241949062702</v>
      </c>
      <c r="F239">
        <f t="shared" ref="F239" si="815">IF($A240&gt;E$4,IF($A240&lt;=F$4,E$5+(F$5-E$5)*($A240-E$4)/(F$4-E$4),0),0)</f>
        <v>0</v>
      </c>
      <c r="G239">
        <f t="shared" ref="G239" si="816">IF($A240&gt;F$4,IF($A240&lt;=G$4,F$5+(G$5-F$5)*($A240-F$4)/(G$4-F$4),0),0)</f>
        <v>0</v>
      </c>
      <c r="H239">
        <f t="shared" ref="H239" si="817">IF($A240&gt;G$4,IF($A240&lt;=H$4,G$5+(H$5-G$5)*($A240-G$4)/(H$4-G$4),0),0)</f>
        <v>0</v>
      </c>
      <c r="I239">
        <f t="shared" ref="I239" si="818">IF($A240&gt;H$4,IF($A240&lt;=I$4,H$5+(I$5-H$5)*($A240-H$4)/(I$4-H$4),0),0)</f>
        <v>0</v>
      </c>
      <c r="J239">
        <f t="shared" ref="J239" si="819">IF($A240&gt;I$4,IF($A240&lt;=J$4,I$5+(J$5-I$5)*($A240-I$4)/(J$4-I$4),0),0)</f>
        <v>0</v>
      </c>
      <c r="K239">
        <f t="shared" ref="K239" si="820">IF($A240&gt;J$4,IF($A240&lt;=K$4,J$5+(K$5-J$5)*($A240-J$4)/(K$4-J$4),0),0)</f>
        <v>0</v>
      </c>
      <c r="L239">
        <f>IF($A240&gt;K$4,IF($A240&lt;=L$4,K$5+(L$5-K$5)*($A240-K$4)/(L$4-K$4),L$5),0)</f>
        <v>0</v>
      </c>
      <c r="M239" s="32">
        <f t="shared" ref="M239:M258" si="821">SUM(C239:L239)</f>
        <v>12.393241949062702</v>
      </c>
    </row>
    <row r="240" spans="1:13" ht="15.75" thickBot="1" x14ac:dyDescent="0.3">
      <c r="A240">
        <f>C237</f>
        <v>0.88621932224951683</v>
      </c>
      <c r="B240" t="s">
        <v>72</v>
      </c>
      <c r="C240">
        <f>IF($A240&lt;=C$4,C$6,0)</f>
        <v>0</v>
      </c>
      <c r="D240">
        <f>IF($A240&gt;C$4,IF($A240&lt;=D$4,C$6+(D$6-C$6)*($A240-C$4)/(D$4-C$4),0),0)</f>
        <v>0</v>
      </c>
      <c r="E240">
        <f t="shared" ref="E240" si="822">IF($A240&gt;D$4,IF($A240&lt;=E$4,D$6+(E$6-D$6)*($A240-D$4)/(E$4-D$4),0),0)</f>
        <v>3.5135161018745973</v>
      </c>
      <c r="F240">
        <f t="shared" ref="F240" si="823">IF($A240&gt;E$4,IF($A240&lt;=F$4,E$6+(F$6-E$6)*($A240-E$4)/(F$4-E$4),0),0)</f>
        <v>0</v>
      </c>
      <c r="G240">
        <f t="shared" ref="G240" si="824">IF($A240&gt;F$4,IF($A240&lt;=G$4,F$6+(G$6-F$6)*($A240-F$4)/(G$4-F$4),0),0)</f>
        <v>0</v>
      </c>
      <c r="H240">
        <f t="shared" ref="H240" si="825">IF($A240&gt;G$4,IF($A240&lt;=H$4,G$6+(H$6-G$6)*($A240-G$4)/(H$4-G$4),0),0)</f>
        <v>0</v>
      </c>
      <c r="I240">
        <f t="shared" ref="I240" si="826">IF($A240&gt;H$4,IF($A240&lt;=I$4,H$6+(I$6-H$6)*($A240-H$4)/(I$4-H$4),0),0)</f>
        <v>0</v>
      </c>
      <c r="J240">
        <f t="shared" ref="J240" si="827">IF($A240&gt;I$4,IF($A240&lt;=J$4,I$6+(J$6-I$6)*($A240-I$4)/(J$4-I$4),0),0)</f>
        <v>0</v>
      </c>
      <c r="K240">
        <f t="shared" ref="K240" si="828">IF($A240&gt;J$4,IF($A240&lt;=K$4,J$6+(K$6-J$6)*($A240-J$4)/(K$4-J$4),0),0)</f>
        <v>0</v>
      </c>
      <c r="L240">
        <f>IF($A240&gt;K$4,IF($A240&lt;=L$4,K$6+(L$6-K$6)*($A240-K$4)/(L$4-K$4),L$6),0)</f>
        <v>0</v>
      </c>
      <c r="M240" s="34">
        <f t="shared" si="821"/>
        <v>3.5135161018745973</v>
      </c>
    </row>
    <row r="241" spans="1:13" x14ac:dyDescent="0.25">
      <c r="A241" s="57" t="s">
        <v>81</v>
      </c>
      <c r="B241" t="s">
        <v>71</v>
      </c>
      <c r="C241">
        <f>IF($A242&lt;=C$4,C$5,0)</f>
        <v>0</v>
      </c>
      <c r="D241">
        <f>IF($A242&gt;C$4,IF($A242&lt;=D$4,C$5+(D$5-C$5)*($A242-C$4)/(D$4-C$4),0),0)</f>
        <v>0</v>
      </c>
      <c r="E241">
        <f>IF($A242&gt;D$4,IF($A242&lt;=E$4,D$5+(E$5-D$5)*($A242-D$4)/(E$4-D$4),0),0)</f>
        <v>0</v>
      </c>
      <c r="F241">
        <f t="shared" ref="F241" si="829">IF($A242&gt;E$4,IF($A242&lt;=F$4,E$5+(F$5-E$5)*($A242-E$4)/(F$4-E$4),0),0)</f>
        <v>12.248617253173348</v>
      </c>
      <c r="G241">
        <f t="shared" ref="G241" si="830">IF($A242&gt;F$4,IF($A242&lt;=G$4,F$5+(G$5-F$5)*($A242-F$4)/(G$4-F$4),0),0)</f>
        <v>0</v>
      </c>
      <c r="H241">
        <f t="shared" ref="H241" si="831">IF($A242&gt;G$4,IF($A242&lt;=H$4,G$5+(H$5-G$5)*($A242-G$4)/(H$4-G$4),0),0)</f>
        <v>0</v>
      </c>
      <c r="I241">
        <f t="shared" ref="I241" si="832">IF($A242&gt;H$4,IF($A242&lt;=I$4,H$5+(I$5-H$5)*($A242-H$4)/(I$4-H$4),0),0)</f>
        <v>0</v>
      </c>
      <c r="J241">
        <f t="shared" ref="J241" si="833">IF($A242&gt;I$4,IF($A242&lt;=J$4,I$5+(J$5-I$5)*($A242-I$4)/(J$4-I$4),0),0)</f>
        <v>0</v>
      </c>
      <c r="K241">
        <f t="shared" ref="K241" si="834">IF($A242&gt;J$4,IF($A242&lt;=K$4,J$5+(K$5-J$5)*($A242-J$4)/(K$4-J$4),0),0)</f>
        <v>0</v>
      </c>
      <c r="L241">
        <f>IF($A242&gt;K$4,IF($A242&lt;=L$4,K$5+(L$5-K$5)*($A242-K$4)/(L$4-K$4),L$5),0)</f>
        <v>0</v>
      </c>
      <c r="M241" s="32">
        <f t="shared" si="821"/>
        <v>12.248617253173348</v>
      </c>
    </row>
    <row r="242" spans="1:13" ht="15.75" thickBot="1" x14ac:dyDescent="0.3">
      <c r="A242">
        <f>D237</f>
        <v>1.2538716911146228</v>
      </c>
      <c r="B242" t="s">
        <v>72</v>
      </c>
      <c r="C242">
        <f>IF($A242&lt;=C$4,C$6,0)</f>
        <v>0</v>
      </c>
      <c r="D242">
        <f>IF($A242&gt;C$4,IF($A242&lt;=D$4,C$6+(D$6-C$6)*($A242-C$4)/(D$4-C$4),0),0)</f>
        <v>0</v>
      </c>
      <c r="E242">
        <f t="shared" ref="E242" si="835">IF($A242&gt;D$4,IF($A242&lt;=E$4,D$6+(E$6-D$6)*($A242-D$4)/(E$4-D$4),0),0)</f>
        <v>0</v>
      </c>
      <c r="F242">
        <f t="shared" ref="F242" si="836">IF($A242&gt;E$4,IF($A242&lt;=F$4,E$6+(F$6-E$6)*($A242-E$4)/(F$4-E$4),0),0)</f>
        <v>3.8027654936533022</v>
      </c>
      <c r="G242">
        <f t="shared" ref="G242" si="837">IF($A242&gt;F$4,IF($A242&lt;=G$4,F$6+(G$6-F$6)*($A242-F$4)/(G$4-F$4),0),0)</f>
        <v>0</v>
      </c>
      <c r="H242">
        <f t="shared" ref="H242" si="838">IF($A242&gt;G$4,IF($A242&lt;=H$4,G$6+(H$6-G$6)*($A242-G$4)/(H$4-G$4),0),0)</f>
        <v>0</v>
      </c>
      <c r="I242">
        <f t="shared" ref="I242" si="839">IF($A242&gt;H$4,IF($A242&lt;=I$4,H$6+(I$6-H$6)*($A242-H$4)/(I$4-H$4),0),0)</f>
        <v>0</v>
      </c>
      <c r="J242">
        <f t="shared" ref="J242" si="840">IF($A242&gt;I$4,IF($A242&lt;=J$4,I$6+(J$6-I$6)*($A242-I$4)/(J$4-I$4),0),0)</f>
        <v>0</v>
      </c>
      <c r="K242">
        <f t="shared" ref="K242" si="841">IF($A242&gt;J$4,IF($A242&lt;=K$4,J$6+(K$6-J$6)*($A242-J$4)/(K$4-J$4),0),0)</f>
        <v>0</v>
      </c>
      <c r="L242">
        <f>IF($A242&gt;K$4,IF($A242&lt;=L$4,K$6+(L$6-K$6)*($A242-K$4)/(L$4-K$4),L$6),0)</f>
        <v>0</v>
      </c>
      <c r="M242" s="34">
        <f t="shared" si="821"/>
        <v>3.8027654936533022</v>
      </c>
    </row>
    <row r="243" spans="1:13" x14ac:dyDescent="0.25">
      <c r="A243" s="57" t="s">
        <v>82</v>
      </c>
      <c r="B243" t="s">
        <v>71</v>
      </c>
      <c r="C243">
        <f>IF($A244&lt;=C$4,C$5,0)</f>
        <v>0</v>
      </c>
      <c r="D243">
        <f>IF($A244&gt;C$4,IF($A244&lt;=D$4,C$5+(D$5-C$5)*($A244-C$4)/(D$4-C$4),0),0)</f>
        <v>0</v>
      </c>
      <c r="E243">
        <f>IF($A244&gt;D$4,IF($A244&lt;=E$4,D$5+(E$5-D$5)*($A244-D$4)/(E$4-D$4),0),0)</f>
        <v>0</v>
      </c>
      <c r="F243">
        <f t="shared" ref="F243" si="842">IF($A244&gt;E$4,IF($A244&lt;=F$4,E$5+(F$5-E$5)*($A244-E$4)/(F$4-E$4),0),0)</f>
        <v>0</v>
      </c>
      <c r="G243">
        <f t="shared" ref="G243" si="843">IF($A244&gt;F$4,IF($A244&lt;=G$4,F$5+(G$5-F$5)*($A244-F$4)/(G$4-F$4),0),0)</f>
        <v>12.12406208309352</v>
      </c>
      <c r="H243">
        <f t="shared" ref="H243" si="844">IF($A244&gt;G$4,IF($A244&lt;=H$4,G$5+(H$5-G$5)*($A244-G$4)/(H$4-G$4),0),0)</f>
        <v>0</v>
      </c>
      <c r="I243">
        <f t="shared" ref="I243" si="845">IF($A244&gt;H$4,IF($A244&lt;=I$4,H$5+(I$5-H$5)*($A244-H$4)/(I$4-H$4),0),0)</f>
        <v>0</v>
      </c>
      <c r="J243">
        <f t="shared" ref="J243" si="846">IF($A244&gt;I$4,IF($A244&lt;=J$4,I$5+(J$5-I$5)*($A244-I$4)/(J$4-I$4),0),0)</f>
        <v>0</v>
      </c>
      <c r="K243">
        <f t="shared" ref="K243" si="847">IF($A244&gt;J$4,IF($A244&lt;=K$4,J$5+(K$5-J$5)*($A244-J$4)/(K$4-J$4),0),0)</f>
        <v>0</v>
      </c>
      <c r="L243">
        <f>IF($A244&gt;K$4,IF($A244&lt;=L$4,K$5+(L$5-K$5)*($A244-K$4)/(L$4-K$4),L$5),0)</f>
        <v>0</v>
      </c>
      <c r="M243" s="32">
        <f t="shared" si="821"/>
        <v>12.12406208309352</v>
      </c>
    </row>
    <row r="244" spans="1:13" ht="15.75" thickBot="1" x14ac:dyDescent="0.3">
      <c r="A244">
        <f>E237</f>
        <v>1.6633765008633274</v>
      </c>
      <c r="B244" t="s">
        <v>72</v>
      </c>
      <c r="C244">
        <f>IF($A244&lt;=C$4,C$6,0)</f>
        <v>0</v>
      </c>
      <c r="D244">
        <f>IF($A244&gt;C$4,IF($A244&lt;=D$4,C$6+(D$6-C$6)*($A244-C$4)/(D$4-C$4),0),0)</f>
        <v>0</v>
      </c>
      <c r="E244">
        <f t="shared" ref="E244" si="848">IF($A244&gt;D$4,IF($A244&lt;=E$4,D$6+(E$6-D$6)*($A244-D$4)/(E$4-D$4),0),0)</f>
        <v>0</v>
      </c>
      <c r="F244">
        <f t="shared" ref="F244" si="849">IF($A244&gt;E$4,IF($A244&lt;=F$4,E$6+(F$6-E$6)*($A244-E$4)/(F$4-E$4),0),0)</f>
        <v>0</v>
      </c>
      <c r="G244">
        <f t="shared" ref="G244" si="850">IF($A244&gt;F$4,IF($A244&lt;=G$4,F$6+(G$6-F$6)*($A244-F$4)/(G$4-F$4),0),0)</f>
        <v>4.051875833812959</v>
      </c>
      <c r="H244">
        <f t="shared" ref="H244" si="851">IF($A244&gt;G$4,IF($A244&lt;=H$4,G$6+(H$6-G$6)*($A244-G$4)/(H$4-G$4),0),0)</f>
        <v>0</v>
      </c>
      <c r="I244">
        <f t="shared" ref="I244" si="852">IF($A244&gt;H$4,IF($A244&lt;=I$4,H$6+(I$6-H$6)*($A244-H$4)/(I$4-H$4),0),0)</f>
        <v>0</v>
      </c>
      <c r="J244">
        <f t="shared" ref="J244" si="853">IF($A244&gt;I$4,IF($A244&lt;=J$4,I$6+(J$6-I$6)*($A244-I$4)/(J$4-I$4),0),0)</f>
        <v>0</v>
      </c>
      <c r="K244">
        <f t="shared" ref="K244" si="854">IF($A244&gt;J$4,IF($A244&lt;=K$4,J$6+(K$6-J$6)*($A244-J$4)/(K$4-J$4),0),0)</f>
        <v>0</v>
      </c>
      <c r="L244">
        <f>IF($A244&gt;K$4,IF($A244&lt;=L$4,K$6+(L$6-K$6)*($A244-K$4)/(L$4-K$4),L$6),0)</f>
        <v>0</v>
      </c>
      <c r="M244" s="34">
        <f t="shared" si="821"/>
        <v>4.051875833812959</v>
      </c>
    </row>
    <row r="245" spans="1:13" x14ac:dyDescent="0.25">
      <c r="A245" s="57" t="s">
        <v>83</v>
      </c>
      <c r="B245" t="s">
        <v>71</v>
      </c>
      <c r="C245">
        <f>IF($A246&lt;=C$4,C$5,0)</f>
        <v>0</v>
      </c>
      <c r="D245">
        <f>IF($A246&gt;C$4,IF($A246&lt;=D$4,C$5+(D$5-C$5)*($A246-C$4)/(D$4-C$4),0),0)</f>
        <v>0</v>
      </c>
      <c r="E245">
        <f>IF($A246&gt;D$4,IF($A246&lt;=E$4,D$5+(E$5-D$5)*($A246-D$4)/(E$4-D$4),0),0)</f>
        <v>0</v>
      </c>
      <c r="F245">
        <f t="shared" ref="F245" si="855">IF($A246&gt;E$4,IF($A246&lt;=F$4,E$5+(F$5-E$5)*($A246-E$4)/(F$4-E$4),0),0)</f>
        <v>0</v>
      </c>
      <c r="G245">
        <f t="shared" ref="G245" si="856">IF($A246&gt;F$4,IF($A246&lt;=G$4,F$5+(G$5-F$5)*($A246-F$4)/(G$4-F$4),0),0)</f>
        <v>0</v>
      </c>
      <c r="H245">
        <f t="shared" ref="H245" si="857">IF($A246&gt;G$4,IF($A246&lt;=H$4,G$5+(H$5-G$5)*($A246-G$4)/(H$4-G$4),0),0)</f>
        <v>12.017275829846913</v>
      </c>
      <c r="I245">
        <f t="shared" ref="I245" si="858">IF($A246&gt;H$4,IF($A246&lt;=I$4,H$5+(I$5-H$5)*($A246-H$4)/(I$4-H$4),0),0)</f>
        <v>0</v>
      </c>
      <c r="J245">
        <f t="shared" ref="J245" si="859">IF($A246&gt;I$4,IF($A246&lt;=J$4,I$5+(J$5-I$5)*($A246-I$4)/(J$4-I$4),0),0)</f>
        <v>0</v>
      </c>
      <c r="K245">
        <f t="shared" ref="K245" si="860">IF($A246&gt;J$4,IF($A246&lt;=K$4,J$5+(K$5-J$5)*($A246-J$4)/(K$4-J$4),0),0)</f>
        <v>0</v>
      </c>
      <c r="L245">
        <f>IF($A246&gt;K$4,IF($A246&lt;=L$4,K$5+(L$5-K$5)*($A246-K$4)/(L$4-K$4),L$5),0)</f>
        <v>0</v>
      </c>
      <c r="M245" s="32">
        <f t="shared" si="821"/>
        <v>12.017275829846913</v>
      </c>
    </row>
    <row r="246" spans="1:13" ht="15.75" thickBot="1" x14ac:dyDescent="0.3">
      <c r="A246">
        <f>F237</f>
        <v>2.1305311827041997</v>
      </c>
      <c r="B246" t="s">
        <v>72</v>
      </c>
      <c r="C246">
        <f>IF($A246&lt;=C$4,C$6,0)</f>
        <v>0</v>
      </c>
      <c r="D246">
        <f>IF($A246&gt;C$4,IF($A246&lt;=D$4,C$6+(D$6-C$6)*($A246-C$4)/(D$4-C$4),0),0)</f>
        <v>0</v>
      </c>
      <c r="E246">
        <f t="shared" ref="E246" si="861">IF($A246&gt;D$4,IF($A246&lt;=E$4,D$6+(E$6-D$6)*($A246-D$4)/(E$4-D$4),0),0)</f>
        <v>0</v>
      </c>
      <c r="F246">
        <f t="shared" ref="F246" si="862">IF($A246&gt;E$4,IF($A246&lt;=F$4,E$6+(F$6-E$6)*($A246-E$4)/(F$4-E$4),0),0)</f>
        <v>0</v>
      </c>
      <c r="G246">
        <f t="shared" ref="G246" si="863">IF($A246&gt;F$4,IF($A246&lt;=G$4,F$6+(G$6-F$6)*($A246-F$4)/(G$4-F$4),0),0)</f>
        <v>0</v>
      </c>
      <c r="H246">
        <f t="shared" ref="H246" si="864">IF($A246&gt;G$4,IF($A246&lt;=H$4,G$6+(H$6-G$6)*($A246-G$4)/(H$4-G$4),0),0)</f>
        <v>4.4308966806123475</v>
      </c>
      <c r="I246">
        <f t="shared" ref="I246" si="865">IF($A246&gt;H$4,IF($A246&lt;=I$4,H$6+(I$6-H$6)*($A246-H$4)/(I$4-H$4),0),0)</f>
        <v>0</v>
      </c>
      <c r="J246">
        <f t="shared" ref="J246" si="866">IF($A246&gt;I$4,IF($A246&lt;=J$4,I$6+(J$6-I$6)*($A246-I$4)/(J$4-I$4),0),0)</f>
        <v>0</v>
      </c>
      <c r="K246">
        <f t="shared" ref="K246" si="867">IF($A246&gt;J$4,IF($A246&lt;=K$4,J$6+(K$6-J$6)*($A246-J$4)/(K$4-J$4),0),0)</f>
        <v>0</v>
      </c>
      <c r="L246">
        <f>IF($A246&gt;K$4,IF($A246&lt;=L$4,K$6+(L$6-K$6)*($A246-K$4)/(L$4-K$4),L$6),0)</f>
        <v>0</v>
      </c>
      <c r="M246" s="34">
        <f t="shared" si="821"/>
        <v>4.4308966806123475</v>
      </c>
    </row>
    <row r="247" spans="1:13" x14ac:dyDescent="0.25">
      <c r="A247" s="57" t="s">
        <v>84</v>
      </c>
      <c r="B247" t="s">
        <v>71</v>
      </c>
      <c r="C247">
        <f>IF($A248&lt;=C$4,C$5,0)</f>
        <v>0</v>
      </c>
      <c r="D247">
        <f>IF($A248&gt;C$4,IF($A248&lt;=D$4,C$5+(D$5-C$5)*($A248-C$4)/(D$4-C$4),0),0)</f>
        <v>0</v>
      </c>
      <c r="E247">
        <f>IF($A248&gt;D$4,IF($A248&lt;=E$4,D$5+(E$5-D$5)*($A248-D$4)/(E$4-D$4),0),0)</f>
        <v>0</v>
      </c>
      <c r="F247">
        <f t="shared" ref="F247" si="868">IF($A248&gt;E$4,IF($A248&lt;=F$4,E$5+(F$5-E$5)*($A248-E$4)/(F$4-E$4),0),0)</f>
        <v>0</v>
      </c>
      <c r="G247">
        <f t="shared" ref="G247" si="869">IF($A248&gt;F$4,IF($A248&lt;=G$4,F$5+(G$5-F$5)*($A248-F$4)/(G$4-F$4),0),0)</f>
        <v>0</v>
      </c>
      <c r="H247">
        <f t="shared" ref="H247" si="870">IF($A248&gt;G$4,IF($A248&lt;=H$4,G$5+(H$5-G$5)*($A248-G$4)/(H$4-G$4),0),0)</f>
        <v>0</v>
      </c>
      <c r="I247">
        <f t="shared" ref="I247" si="871">IF($A248&gt;H$4,IF($A248&lt;=I$4,H$5+(I$5-H$5)*($A248-H$4)/(I$4-H$4),0),0)</f>
        <v>12</v>
      </c>
      <c r="J247">
        <f t="shared" ref="J247" si="872">IF($A248&gt;I$4,IF($A248&lt;=J$4,I$5+(J$5-I$5)*($A248-I$4)/(J$4-I$4),0),0)</f>
        <v>0</v>
      </c>
      <c r="K247">
        <f t="shared" ref="K247" si="873">IF($A248&gt;J$4,IF($A248&lt;=K$4,J$5+(K$5-J$5)*($A248-J$4)/(K$4-J$4),0),0)</f>
        <v>0</v>
      </c>
      <c r="L247">
        <f>IF($A248&gt;K$4,IF($A248&lt;=L$4,K$5+(L$5-K$5)*($A248-K$4)/(L$4-K$4),L$5),0)</f>
        <v>0</v>
      </c>
      <c r="M247" s="32">
        <f t="shared" si="821"/>
        <v>12</v>
      </c>
    </row>
    <row r="248" spans="1:13" ht="15.75" thickBot="1" x14ac:dyDescent="0.3">
      <c r="A248">
        <f>G237</f>
        <v>2.6770959940877392</v>
      </c>
      <c r="B248" t="s">
        <v>72</v>
      </c>
      <c r="C248">
        <f>IF($A248&lt;=C$4,C$6,0)</f>
        <v>0</v>
      </c>
      <c r="D248">
        <f>IF($A248&gt;C$4,IF($A248&lt;=D$4,C$6+(D$6-C$6)*($A248-C$4)/(D$4-C$4),0),0)</f>
        <v>0</v>
      </c>
      <c r="E248">
        <f t="shared" ref="E248" si="874">IF($A248&gt;D$4,IF($A248&lt;=E$4,D$6+(E$6-D$6)*($A248-D$4)/(E$4-D$4),0),0)</f>
        <v>0</v>
      </c>
      <c r="F248">
        <f t="shared" ref="F248" si="875">IF($A248&gt;E$4,IF($A248&lt;=F$4,E$6+(F$6-E$6)*($A248-E$4)/(F$4-E$4),0),0)</f>
        <v>0</v>
      </c>
      <c r="G248">
        <f t="shared" ref="G248" si="876">IF($A248&gt;F$4,IF($A248&lt;=G$4,F$6+(G$6-F$6)*($A248-F$4)/(G$4-F$4),0),0)</f>
        <v>0</v>
      </c>
      <c r="H248">
        <f t="shared" ref="H248" si="877">IF($A248&gt;G$4,IF($A248&lt;=H$4,G$6+(H$6-G$6)*($A248-G$4)/(H$4-G$4),0),0)</f>
        <v>0</v>
      </c>
      <c r="I248">
        <f t="shared" ref="I248" si="878">IF($A248&gt;H$4,IF($A248&lt;=I$4,H$6+(I$6-H$6)*($A248-H$4)/(I$4-H$4),0),0)</f>
        <v>5.2006439911316091</v>
      </c>
      <c r="J248">
        <f t="shared" ref="J248" si="879">IF($A248&gt;I$4,IF($A248&lt;=J$4,I$6+(J$6-I$6)*($A248-I$4)/(J$4-I$4),0),0)</f>
        <v>0</v>
      </c>
      <c r="K248">
        <f t="shared" ref="K248" si="880">IF($A248&gt;J$4,IF($A248&lt;=K$4,J$6+(K$6-J$6)*($A248-J$4)/(K$4-J$4),0),0)</f>
        <v>0</v>
      </c>
      <c r="L248">
        <f>IF($A248&gt;K$4,IF($A248&lt;=L$4,K$6+(L$6-K$6)*($A248-K$4)/(L$4-K$4),L$6),0)</f>
        <v>0</v>
      </c>
      <c r="M248" s="34">
        <f t="shared" si="821"/>
        <v>5.2006439911316091</v>
      </c>
    </row>
    <row r="249" spans="1:13" x14ac:dyDescent="0.25">
      <c r="A249" s="57" t="s">
        <v>85</v>
      </c>
      <c r="B249" t="s">
        <v>71</v>
      </c>
      <c r="C249">
        <f>IF($A250&lt;=C$4,C$5,0)</f>
        <v>0</v>
      </c>
      <c r="D249">
        <f>IF($A250&gt;C$4,IF($A250&lt;=D$4,C$5+(D$5-C$5)*($A250-C$4)/(D$4-C$4),0),0)</f>
        <v>0</v>
      </c>
      <c r="E249">
        <f>IF($A250&gt;D$4,IF($A250&lt;=E$4,D$5+(E$5-D$5)*($A250-D$4)/(E$4-D$4),0),0)</f>
        <v>0</v>
      </c>
      <c r="F249">
        <f t="shared" ref="F249" si="881">IF($A250&gt;E$4,IF($A250&lt;=F$4,E$5+(F$5-E$5)*($A250-E$4)/(F$4-E$4),0),0)</f>
        <v>0</v>
      </c>
      <c r="G249">
        <f t="shared" ref="G249" si="882">IF($A250&gt;F$4,IF($A250&lt;=G$4,F$5+(G$5-F$5)*($A250-F$4)/(G$4-F$4),0),0)</f>
        <v>0</v>
      </c>
      <c r="H249">
        <f t="shared" ref="H249" si="883">IF($A250&gt;G$4,IF($A250&lt;=H$4,G$5+(H$5-G$5)*($A250-G$4)/(H$4-G$4),0),0)</f>
        <v>0</v>
      </c>
      <c r="I249">
        <f t="shared" ref="I249" si="884">IF($A250&gt;H$4,IF($A250&lt;=I$4,H$5+(I$5-H$5)*($A250-H$4)/(I$4-H$4),0),0)</f>
        <v>0</v>
      </c>
      <c r="J249">
        <f t="shared" ref="J249" si="885">IF($A250&gt;I$4,IF($A250&lt;=J$4,I$5+(J$5-I$5)*($A250-I$4)/(J$4-I$4),0),0)</f>
        <v>11.947167200013208</v>
      </c>
      <c r="K249">
        <f t="shared" ref="K249" si="886">IF($A250&gt;J$4,IF($A250&lt;=K$4,J$5+(K$5-J$5)*($A250-J$4)/(K$4-J$4),0),0)</f>
        <v>0</v>
      </c>
      <c r="L249">
        <f>IF($A250&gt;K$4,IF($A250&lt;=L$4,K$5+(L$5-K$5)*($A250-K$4)/(L$4-K$4),L$5),0)</f>
        <v>0</v>
      </c>
      <c r="M249" s="32">
        <f t="shared" si="821"/>
        <v>11.947167200013208</v>
      </c>
    </row>
    <row r="250" spans="1:13" ht="15.75" thickBot="1" x14ac:dyDescent="0.3">
      <c r="A250">
        <f>H237</f>
        <v>3.3330447198692394</v>
      </c>
      <c r="B250" t="s">
        <v>72</v>
      </c>
      <c r="C250">
        <f>IF($A250&lt;=C$4,C$6,0)</f>
        <v>0</v>
      </c>
      <c r="D250">
        <f>IF($A250&gt;C$4,IF($A250&lt;=D$4,C$6+(D$6-C$6)*($A250-C$4)/(D$4-C$4),0),0)</f>
        <v>0</v>
      </c>
      <c r="E250">
        <f t="shared" ref="E250" si="887">IF($A250&gt;D$4,IF($A250&lt;=E$4,D$6+(E$6-D$6)*($A250-D$4)/(E$4-D$4),0),0)</f>
        <v>0</v>
      </c>
      <c r="F250">
        <f t="shared" ref="F250" si="888">IF($A250&gt;E$4,IF($A250&lt;=F$4,E$6+(F$6-E$6)*($A250-E$4)/(F$4-E$4),0),0)</f>
        <v>0</v>
      </c>
      <c r="G250">
        <f t="shared" ref="G250" si="889">IF($A250&gt;F$4,IF($A250&lt;=G$4,F$6+(G$6-F$6)*($A250-F$4)/(G$4-F$4),0),0)</f>
        <v>0</v>
      </c>
      <c r="H250">
        <f t="shared" ref="H250" si="890">IF($A250&gt;G$4,IF($A250&lt;=H$4,G$6+(H$6-G$6)*($A250-G$4)/(H$4-G$4),0),0)</f>
        <v>0</v>
      </c>
      <c r="I250">
        <f t="shared" ref="I250" si="891">IF($A250&gt;H$4,IF($A250&lt;=I$4,H$6+(I$6-H$6)*($A250-H$4)/(I$4-H$4),0),0)</f>
        <v>0</v>
      </c>
      <c r="J250">
        <f t="shared" ref="J250" si="892">IF($A250&gt;I$4,IF($A250&lt;=J$4,I$6+(J$6-I$6)*($A250-I$4)/(J$4-I$4),0),0)</f>
        <v>5.9283279998679195</v>
      </c>
      <c r="K250">
        <f t="shared" ref="K250" si="893">IF($A250&gt;J$4,IF($A250&lt;=K$4,J$6+(K$6-J$6)*($A250-J$4)/(K$4-J$4),0),0)</f>
        <v>0</v>
      </c>
      <c r="L250">
        <f>IF($A250&gt;K$4,IF($A250&lt;=L$4,K$6+(L$6-K$6)*($A250-K$4)/(L$4-K$4),L$6),0)</f>
        <v>0</v>
      </c>
      <c r="M250" s="34">
        <f t="shared" si="821"/>
        <v>5.9283279998679195</v>
      </c>
    </row>
    <row r="251" spans="1:13" x14ac:dyDescent="0.25">
      <c r="A251" s="57" t="s">
        <v>86</v>
      </c>
      <c r="B251" t="s">
        <v>71</v>
      </c>
      <c r="C251">
        <f>IF($A252&lt;=C$4,C$5,0)</f>
        <v>0</v>
      </c>
      <c r="D251">
        <f>IF($A252&gt;C$4,IF($A252&lt;=D$4,C$5+(D$5-C$5)*($A252-C$4)/(D$4-C$4),0),0)</f>
        <v>0</v>
      </c>
      <c r="E251">
        <f>IF($A252&gt;D$4,IF($A252&lt;=E$4,D$5+(E$5-D$5)*($A252-D$4)/(E$4-D$4),0),0)</f>
        <v>0</v>
      </c>
      <c r="F251">
        <f t="shared" ref="F251" si="894">IF($A252&gt;E$4,IF($A252&lt;=F$4,E$5+(F$5-E$5)*($A252-E$4)/(F$4-E$4),0),0)</f>
        <v>0</v>
      </c>
      <c r="G251">
        <f t="shared" ref="G251" si="895">IF($A252&gt;F$4,IF($A252&lt;=G$4,F$5+(G$5-F$5)*($A252-F$4)/(G$4-F$4),0),0)</f>
        <v>0</v>
      </c>
      <c r="H251">
        <f t="shared" ref="H251" si="896">IF($A252&gt;G$4,IF($A252&lt;=H$4,G$5+(H$5-G$5)*($A252-G$4)/(H$4-G$4),0),0)</f>
        <v>0</v>
      </c>
      <c r="I251">
        <f t="shared" ref="I251" si="897">IF($A252&gt;H$4,IF($A252&lt;=I$4,H$5+(I$5-H$5)*($A252-H$4)/(I$4-H$4),0),0)</f>
        <v>0</v>
      </c>
      <c r="J251">
        <f t="shared" ref="J251" si="898">IF($A252&gt;I$4,IF($A252&lt;=J$4,I$5+(J$5-I$5)*($A252-I$4)/(J$4-I$4),0),0)</f>
        <v>0</v>
      </c>
      <c r="K251">
        <f t="shared" ref="K251" si="899">IF($A252&gt;J$4,IF($A252&lt;=K$4,J$5+(K$5-J$5)*($A252-J$4)/(K$4-J$4),0),0)</f>
        <v>11.869399557400511</v>
      </c>
      <c r="L251">
        <f>IF($A252&gt;K$4,IF($A252&lt;=L$4,K$5+(L$5-K$5)*($A252-K$4)/(L$4-K$4),L$5),0)</f>
        <v>0</v>
      </c>
      <c r="M251" s="32">
        <f t="shared" si="821"/>
        <v>11.869399557400511</v>
      </c>
    </row>
    <row r="252" spans="1:13" ht="15.75" thickBot="1" x14ac:dyDescent="0.3">
      <c r="A252">
        <f>I237</f>
        <v>4.1396649128543261</v>
      </c>
      <c r="B252" t="s">
        <v>72</v>
      </c>
      <c r="C252">
        <f>IF($A252&lt;=C$4,C$6,0)</f>
        <v>0</v>
      </c>
      <c r="D252">
        <f>IF($A252&gt;C$4,IF($A252&lt;=D$4,C$6+(D$6-C$6)*($A252-C$4)/(D$4-C$4),0),0)</f>
        <v>0</v>
      </c>
      <c r="E252">
        <f t="shared" ref="E252" si="900">IF($A252&gt;D$4,IF($A252&lt;=E$4,D$6+(E$6-D$6)*($A252-D$4)/(E$4-D$4),0),0)</f>
        <v>0</v>
      </c>
      <c r="F252">
        <f t="shared" ref="F252" si="901">IF($A252&gt;E$4,IF($A252&lt;=F$4,E$6+(F$6-E$6)*($A252-E$4)/(F$4-E$4),0),0)</f>
        <v>0</v>
      </c>
      <c r="G252">
        <f t="shared" ref="G252" si="902">IF($A252&gt;F$4,IF($A252&lt;=G$4,F$6+(G$6-F$6)*($A252-F$4)/(G$4-F$4),0),0)</f>
        <v>0</v>
      </c>
      <c r="H252">
        <f t="shared" ref="H252" si="903">IF($A252&gt;G$4,IF($A252&lt;=H$4,G$6+(H$6-G$6)*($A252-G$4)/(H$4-G$4),0),0)</f>
        <v>0</v>
      </c>
      <c r="I252">
        <f t="shared" ref="I252" si="904">IF($A252&gt;H$4,IF($A252&lt;=I$4,H$6+(I$6-H$6)*($A252-H$4)/(I$4-H$4),0),0)</f>
        <v>0</v>
      </c>
      <c r="J252">
        <f t="shared" ref="J252" si="905">IF($A252&gt;I$4,IF($A252&lt;=J$4,I$6+(J$6-I$6)*($A252-I$4)/(J$4-I$4),0),0)</f>
        <v>0</v>
      </c>
      <c r="K252">
        <f t="shared" ref="K252" si="906">IF($A252&gt;J$4,IF($A252&lt;=K$4,J$6+(K$6-J$6)*($A252-J$4)/(K$4-J$4),0),0)</f>
        <v>7.2721126140854322</v>
      </c>
      <c r="L252">
        <f>IF($A252&gt;K$4,IF($A252&lt;=L$4,K$6+(L$6-K$6)*($A252-K$4)/(L$4-K$4),L$6),0)</f>
        <v>0</v>
      </c>
      <c r="M252" s="34">
        <f t="shared" si="821"/>
        <v>7.2721126140854322</v>
      </c>
    </row>
    <row r="253" spans="1:13" x14ac:dyDescent="0.25">
      <c r="A253" s="57" t="s">
        <v>87</v>
      </c>
      <c r="B253" t="s">
        <v>71</v>
      </c>
      <c r="C253">
        <f>IF($A254&lt;=C$4,C$5,0)</f>
        <v>0</v>
      </c>
      <c r="D253">
        <f>IF($A254&gt;C$4,IF($A254&lt;=D$4,C$5+(D$5-C$5)*($A254-C$4)/(D$4-C$4),0),0)</f>
        <v>0</v>
      </c>
      <c r="E253">
        <f>IF($A254&gt;D$4,IF($A254&lt;=E$4,D$5+(E$5-D$5)*($A254-D$4)/(E$4-D$4),0),0)</f>
        <v>0</v>
      </c>
      <c r="F253">
        <f t="shared" ref="F253" si="907">IF($A254&gt;E$4,IF($A254&lt;=F$4,E$5+(F$5-E$5)*($A254-E$4)/(F$4-E$4),0),0)</f>
        <v>0</v>
      </c>
      <c r="G253">
        <f t="shared" ref="G253" si="908">IF($A254&gt;F$4,IF($A254&lt;=G$4,F$5+(G$5-F$5)*($A254-F$4)/(G$4-F$4),0),0)</f>
        <v>0</v>
      </c>
      <c r="H253">
        <f t="shared" ref="H253" si="909">IF($A254&gt;G$4,IF($A254&lt;=H$4,G$5+(H$5-G$5)*($A254-G$4)/(H$4-G$4),0),0)</f>
        <v>0</v>
      </c>
      <c r="I253">
        <f t="shared" ref="I253" si="910">IF($A254&gt;H$4,IF($A254&lt;=I$4,H$5+(I$5-H$5)*($A254-H$4)/(I$4-H$4),0),0)</f>
        <v>0</v>
      </c>
      <c r="J253">
        <f t="shared" ref="J253" si="911">IF($A254&gt;I$4,IF($A254&lt;=J$4,I$5+(J$5-I$5)*($A254-I$4)/(J$4-I$4),0),0)</f>
        <v>0</v>
      </c>
      <c r="K253">
        <f t="shared" ref="K253" si="912">IF($A254&gt;J$4,IF($A254&lt;=K$4,J$5+(K$5-J$5)*($A254-J$4)/(K$4-J$4),0),0)</f>
        <v>0</v>
      </c>
      <c r="L253">
        <f>IF($A254&gt;K$4,IF($A254&lt;=L$4,K$5+(L$5-K$5)*($A254-K$4)/(L$4-K$4),L$5),0)</f>
        <v>11.791322834982813</v>
      </c>
      <c r="M253" s="32">
        <f t="shared" si="821"/>
        <v>11.791322834982813</v>
      </c>
    </row>
    <row r="254" spans="1:13" ht="15.75" thickBot="1" x14ac:dyDescent="0.3">
      <c r="A254">
        <f>J237</f>
        <v>5.1538283369829534</v>
      </c>
      <c r="B254" t="s">
        <v>72</v>
      </c>
      <c r="C254">
        <f>IF($A254&lt;=C$4,C$6,0)</f>
        <v>0</v>
      </c>
      <c r="D254">
        <f>IF($A254&gt;C$4,IF($A254&lt;=D$4,C$6+(D$6-C$6)*($A254-C$4)/(D$4-C$4),0),0)</f>
        <v>0</v>
      </c>
      <c r="E254">
        <f t="shared" ref="E254" si="913">IF($A254&gt;D$4,IF($A254&lt;=E$4,D$6+(E$6-D$6)*($A254-D$4)/(E$4-D$4),0),0)</f>
        <v>0</v>
      </c>
      <c r="F254">
        <f t="shared" ref="F254" si="914">IF($A254&gt;E$4,IF($A254&lt;=F$4,E$6+(F$6-E$6)*($A254-E$4)/(F$4-E$4),0),0)</f>
        <v>0</v>
      </c>
      <c r="G254">
        <f t="shared" ref="G254" si="915">IF($A254&gt;F$4,IF($A254&lt;=G$4,F$6+(G$6-F$6)*($A254-F$4)/(G$4-F$4),0),0)</f>
        <v>0</v>
      </c>
      <c r="H254">
        <f t="shared" ref="H254" si="916">IF($A254&gt;G$4,IF($A254&lt;=H$4,G$6+(H$6-G$6)*($A254-G$4)/(H$4-G$4),0),0)</f>
        <v>0</v>
      </c>
      <c r="I254">
        <f t="shared" ref="I254" si="917">IF($A254&gt;H$4,IF($A254&lt;=I$4,H$6+(I$6-H$6)*($A254-H$4)/(I$4-H$4),0),0)</f>
        <v>0</v>
      </c>
      <c r="J254">
        <f t="shared" ref="J254" si="918">IF($A254&gt;I$4,IF($A254&lt;=J$4,I$6+(J$6-I$6)*($A254-I$4)/(J$4-I$4),0),0)</f>
        <v>0</v>
      </c>
      <c r="K254">
        <f t="shared" ref="K254" si="919">IF($A254&gt;J$4,IF($A254&lt;=K$4,J$6+(K$6-J$6)*($A254-J$4)/(K$4-J$4),0),0)</f>
        <v>0</v>
      </c>
      <c r="L254">
        <f>IF($A254&gt;K$4,IF($A254&lt;=L$4,K$6+(L$6-K$6)*($A254-K$4)/(L$4-K$4),L$6),0)</f>
        <v>9.6274566782476327</v>
      </c>
      <c r="M254" s="34">
        <f t="shared" si="821"/>
        <v>9.6274566782476327</v>
      </c>
    </row>
    <row r="255" spans="1:13" x14ac:dyDescent="0.25">
      <c r="A255" s="57" t="s">
        <v>88</v>
      </c>
      <c r="B255" t="s">
        <v>71</v>
      </c>
      <c r="C255">
        <f>IF($A256&lt;=C$4,C$5,0)</f>
        <v>0</v>
      </c>
      <c r="D255">
        <f>IF($A256&gt;C$4,IF($A256&lt;=D$4,C$5+(D$5-C$5)*($A256-C$4)/(D$4-C$4),0),0)</f>
        <v>0</v>
      </c>
      <c r="E255">
        <f>IF($A256&gt;D$4,IF($A256&lt;=E$4,D$5+(E$5-D$5)*($A256-D$4)/(E$4-D$4),0),0)</f>
        <v>0</v>
      </c>
      <c r="F255">
        <f t="shared" ref="F255" si="920">IF($A256&gt;E$4,IF($A256&lt;=F$4,E$5+(F$5-E$5)*($A256-E$4)/(F$4-E$4),0),0)</f>
        <v>0</v>
      </c>
      <c r="G255">
        <f t="shared" ref="G255" si="921">IF($A256&gt;F$4,IF($A256&lt;=G$4,F$5+(G$5-F$5)*($A256-F$4)/(G$4-F$4),0),0)</f>
        <v>0</v>
      </c>
      <c r="H255">
        <f t="shared" ref="H255" si="922">IF($A256&gt;G$4,IF($A256&lt;=H$4,G$5+(H$5-G$5)*($A256-G$4)/(H$4-G$4),0),0)</f>
        <v>0</v>
      </c>
      <c r="I255">
        <f t="shared" ref="I255" si="923">IF($A256&gt;H$4,IF($A256&lt;=I$4,H$5+(I$5-H$5)*($A256-H$4)/(I$4-H$4),0),0)</f>
        <v>0</v>
      </c>
      <c r="J255">
        <f t="shared" ref="J255" si="924">IF($A256&gt;I$4,IF($A256&lt;=J$4,I$5+(J$5-I$5)*($A256-I$4)/(J$4-I$4),0),0)</f>
        <v>0</v>
      </c>
      <c r="K255">
        <f t="shared" ref="K255" si="925">IF($A256&gt;J$4,IF($A256&lt;=K$4,J$5+(K$5-J$5)*($A256-J$4)/(K$4-J$4),0),0)</f>
        <v>0</v>
      </c>
      <c r="L255">
        <f>IF($A256&gt;K$4,IF($A256&lt;=L$4,K$5+(L$5-K$5)*($A256-K$4)/(L$4-K$4),L$5),0)</f>
        <v>11.745057889235024</v>
      </c>
      <c r="M255" s="32">
        <f t="shared" si="821"/>
        <v>11.745057889235024</v>
      </c>
    </row>
    <row r="256" spans="1:13" ht="15.75" thickBot="1" x14ac:dyDescent="0.3">
      <c r="A256">
        <f>K237</f>
        <v>6.4538733124958245</v>
      </c>
      <c r="B256" t="s">
        <v>72</v>
      </c>
      <c r="C256">
        <f>IF($A256&lt;=C$4,C$6,0)</f>
        <v>0</v>
      </c>
      <c r="D256">
        <f>IF($A256&gt;C$4,IF($A256&lt;=D$4,C$6+(D$6-C$6)*($A256-C$4)/(D$4-C$4),0),0)</f>
        <v>0</v>
      </c>
      <c r="E256">
        <f t="shared" ref="E256" si="926">IF($A256&gt;D$4,IF($A256&lt;=E$4,D$6+(E$6-D$6)*($A256-D$4)/(E$4-D$4),0),0)</f>
        <v>0</v>
      </c>
      <c r="F256">
        <f t="shared" ref="F256" si="927">IF($A256&gt;E$4,IF($A256&lt;=F$4,E$6+(F$6-E$6)*($A256-E$4)/(F$4-E$4),0),0)</f>
        <v>0</v>
      </c>
      <c r="G256">
        <f t="shared" ref="G256" si="928">IF($A256&gt;F$4,IF($A256&lt;=G$4,F$6+(G$6-F$6)*($A256-F$4)/(G$4-F$4),0),0)</f>
        <v>0</v>
      </c>
      <c r="H256">
        <f t="shared" ref="H256" si="929">IF($A256&gt;G$4,IF($A256&lt;=H$4,G$6+(H$6-G$6)*($A256-G$4)/(H$4-G$4),0),0)</f>
        <v>0</v>
      </c>
      <c r="I256">
        <f t="shared" ref="I256" si="930">IF($A256&gt;H$4,IF($A256&lt;=I$4,H$6+(I$6-H$6)*($A256-H$4)/(I$4-H$4),0),0)</f>
        <v>0</v>
      </c>
      <c r="J256">
        <f t="shared" ref="J256" si="931">IF($A256&gt;I$4,IF($A256&lt;=J$4,I$6+(J$6-I$6)*($A256-I$4)/(J$4-I$4),0),0)</f>
        <v>0</v>
      </c>
      <c r="K256">
        <f t="shared" ref="K256" si="932">IF($A256&gt;J$4,IF($A256&lt;=K$4,J$6+(K$6-J$6)*($A256-J$4)/(K$4-J$4),0),0)</f>
        <v>0</v>
      </c>
      <c r="L256">
        <f>IF($A256&gt;K$4,IF($A256&lt;=L$4,K$6+(L$6-K$6)*($A256-K$4)/(L$4-K$4),L$6),0)</f>
        <v>11.639981818276453</v>
      </c>
      <c r="M256" s="34">
        <f t="shared" si="821"/>
        <v>11.639981818276453</v>
      </c>
    </row>
    <row r="257" spans="1:13" x14ac:dyDescent="0.25">
      <c r="A257" s="57" t="s">
        <v>89</v>
      </c>
      <c r="B257" t="s">
        <v>71</v>
      </c>
      <c r="C257">
        <f>IF($A258&lt;=C$4,C$5,0)</f>
        <v>0</v>
      </c>
      <c r="D257">
        <f>IF($A258&gt;C$4,IF($A258&lt;=D$4,C$5+(D$5-C$5)*($A258-C$4)/(D$4-C$4),0),0)</f>
        <v>0</v>
      </c>
      <c r="E257">
        <f>IF($A258&gt;D$4,IF($A258&lt;=E$4,D$5+(E$5-D$5)*($A258-D$4)/(E$4-D$4),0),0)</f>
        <v>0</v>
      </c>
      <c r="F257">
        <f t="shared" ref="F257" si="933">IF($A258&gt;E$4,IF($A258&lt;=F$4,E$5+(F$5-E$5)*($A258-E$4)/(F$4-E$4),0),0)</f>
        <v>0</v>
      </c>
      <c r="G257">
        <f t="shared" ref="G257" si="934">IF($A258&gt;F$4,IF($A258&lt;=G$4,F$5+(G$5-F$5)*($A258-F$4)/(G$4-F$4),0),0)</f>
        <v>0</v>
      </c>
      <c r="H257">
        <f t="shared" ref="H257" si="935">IF($A258&gt;G$4,IF($A258&lt;=H$4,G$5+(H$5-G$5)*($A258-G$4)/(H$4-G$4),0),0)</f>
        <v>0</v>
      </c>
      <c r="I257">
        <f t="shared" ref="I257" si="936">IF($A258&gt;H$4,IF($A258&lt;=I$4,H$5+(I$5-H$5)*($A258-H$4)/(I$4-H$4),0),0)</f>
        <v>0</v>
      </c>
      <c r="J257">
        <f t="shared" ref="J257" si="937">IF($A258&gt;I$4,IF($A258&lt;=J$4,I$5+(J$5-I$5)*($A258-I$4)/(J$4-I$4),0),0)</f>
        <v>0</v>
      </c>
      <c r="K257">
        <f t="shared" ref="K257" si="938">IF($A258&gt;J$4,IF($A258&lt;=K$4,J$5+(K$5-J$5)*($A258-J$4)/(K$4-J$4),0),0)</f>
        <v>0</v>
      </c>
      <c r="L257">
        <f>IF($A258&gt;K$4,IF($A258&lt;=L$4,K$5+(L$5-K$5)*($A258-K$4)/(L$4-K$4),L$5),0)</f>
        <v>11.7</v>
      </c>
      <c r="M257" s="32">
        <f t="shared" si="821"/>
        <v>11.7</v>
      </c>
    </row>
    <row r="258" spans="1:13" ht="15.75" thickBot="1" x14ac:dyDescent="0.3">
      <c r="A258">
        <f>L237</f>
        <v>8.1477073842444412</v>
      </c>
      <c r="B258" t="s">
        <v>72</v>
      </c>
      <c r="C258">
        <f>IF($A258&lt;=C$4,C$6,0)</f>
        <v>0</v>
      </c>
      <c r="D258">
        <f>IF($A258&gt;C$4,IF($A258&lt;=D$4,C$6+(D$6-C$6)*($A258-C$4)/(D$4-C$4),0),0)</f>
        <v>0</v>
      </c>
      <c r="E258">
        <f t="shared" ref="E258" si="939">IF($A258&gt;D$4,IF($A258&lt;=E$4,D$6+(E$6-D$6)*($A258-D$4)/(E$4-D$4),0),0)</f>
        <v>0</v>
      </c>
      <c r="F258">
        <f t="shared" ref="F258" si="940">IF($A258&gt;E$4,IF($A258&lt;=F$4,E$6+(F$6-E$6)*($A258-E$4)/(F$4-E$4),0),0)</f>
        <v>0</v>
      </c>
      <c r="G258">
        <f t="shared" ref="G258" si="941">IF($A258&gt;F$4,IF($A258&lt;=G$4,F$6+(G$6-F$6)*($A258-F$4)/(G$4-F$4),0),0)</f>
        <v>0</v>
      </c>
      <c r="H258">
        <f t="shared" ref="H258" si="942">IF($A258&gt;G$4,IF($A258&lt;=H$4,G$6+(H$6-G$6)*($A258-G$4)/(H$4-G$4),0),0)</f>
        <v>0</v>
      </c>
      <c r="I258">
        <f t="shared" ref="I258" si="943">IF($A258&gt;H$4,IF($A258&lt;=I$4,H$6+(I$6-H$6)*($A258-H$4)/(I$4-H$4),0),0)</f>
        <v>0</v>
      </c>
      <c r="J258">
        <f t="shared" ref="J258" si="944">IF($A258&gt;I$4,IF($A258&lt;=J$4,I$6+(J$6-I$6)*($A258-I$4)/(J$4-I$4),0),0)</f>
        <v>0</v>
      </c>
      <c r="K258">
        <f t="shared" ref="K258" si="945">IF($A258&gt;J$4,IF($A258&lt;=K$4,J$6+(K$6-J$6)*($A258-J$4)/(K$4-J$4),0),0)</f>
        <v>0</v>
      </c>
      <c r="L258">
        <f>IF($A258&gt;K$4,IF($A258&lt;=L$4,K$6+(L$6-K$6)*($A258-K$4)/(L$4-K$4),L$6),0)</f>
        <v>13.6</v>
      </c>
      <c r="M258" s="34">
        <f t="shared" si="821"/>
        <v>13.6</v>
      </c>
    </row>
    <row r="260" spans="1:13" x14ac:dyDescent="0.25">
      <c r="B260" t="s">
        <v>90</v>
      </c>
    </row>
    <row r="261" spans="1:13" ht="15.75" thickBot="1" x14ac:dyDescent="0.3">
      <c r="C261" s="25">
        <v>1</v>
      </c>
      <c r="D261" s="25">
        <v>2</v>
      </c>
      <c r="E261" s="25">
        <v>3</v>
      </c>
      <c r="F261" s="25">
        <v>4</v>
      </c>
      <c r="G261" s="25">
        <v>5</v>
      </c>
      <c r="H261" s="25">
        <v>6</v>
      </c>
      <c r="I261" s="25">
        <v>7</v>
      </c>
      <c r="J261" s="25">
        <v>8</v>
      </c>
      <c r="K261" s="25">
        <v>9</v>
      </c>
      <c r="L261" s="25">
        <v>10</v>
      </c>
    </row>
    <row r="262" spans="1:13" x14ac:dyDescent="0.25">
      <c r="B262" t="s">
        <v>71</v>
      </c>
      <c r="C262" s="58">
        <f>M239</f>
        <v>12.393241949062702</v>
      </c>
      <c r="D262" s="59">
        <f>M241</f>
        <v>12.248617253173348</v>
      </c>
      <c r="E262" s="59">
        <f>M243</f>
        <v>12.12406208309352</v>
      </c>
      <c r="F262" s="59">
        <f>M245</f>
        <v>12.017275829846913</v>
      </c>
      <c r="G262" s="59">
        <f>M247</f>
        <v>12</v>
      </c>
      <c r="H262" s="59">
        <f>M249</f>
        <v>11.947167200013208</v>
      </c>
      <c r="I262" s="59">
        <f>M251</f>
        <v>11.869399557400511</v>
      </c>
      <c r="J262" s="59">
        <f>M253</f>
        <v>11.791322834982813</v>
      </c>
      <c r="K262" s="59">
        <f>M255</f>
        <v>11.745057889235024</v>
      </c>
      <c r="L262" s="60">
        <f>M257</f>
        <v>11.7</v>
      </c>
    </row>
    <row r="263" spans="1:13" ht="15.75" thickBot="1" x14ac:dyDescent="0.3">
      <c r="B263" t="s">
        <v>72</v>
      </c>
      <c r="C263" s="52">
        <f>M240</f>
        <v>3.5135161018745973</v>
      </c>
      <c r="D263" s="53">
        <f t="shared" ref="D263" si="946">M242</f>
        <v>3.8027654936533022</v>
      </c>
      <c r="E263" s="53">
        <f>M244</f>
        <v>4.051875833812959</v>
      </c>
      <c r="F263" s="53">
        <f>M246</f>
        <v>4.4308966806123475</v>
      </c>
      <c r="G263" s="53">
        <f>M248</f>
        <v>5.2006439911316091</v>
      </c>
      <c r="H263" s="53">
        <f>M250</f>
        <v>5.9283279998679195</v>
      </c>
      <c r="I263" s="53">
        <f>M252</f>
        <v>7.2721126140854322</v>
      </c>
      <c r="J263" s="53">
        <f>M254</f>
        <v>9.6274566782476327</v>
      </c>
      <c r="K263" s="53">
        <f>M256</f>
        <v>11.639981818276453</v>
      </c>
      <c r="L263" s="54">
        <f>M258</f>
        <v>13.6</v>
      </c>
    </row>
    <row r="264" spans="1:13" x14ac:dyDescent="0.25">
      <c r="B264" t="s">
        <v>161</v>
      </c>
      <c r="C264">
        <f>100-C262-C263</f>
        <v>84.093241949062701</v>
      </c>
      <c r="D264">
        <f t="shared" ref="D264:L264" si="947">100-D262-D263</f>
        <v>83.948617253173353</v>
      </c>
      <c r="E264">
        <f t="shared" si="947"/>
        <v>83.824062083093523</v>
      </c>
      <c r="F264">
        <f t="shared" si="947"/>
        <v>83.551827489540742</v>
      </c>
      <c r="G264">
        <f t="shared" si="947"/>
        <v>82.799356008868386</v>
      </c>
      <c r="H264">
        <f t="shared" si="947"/>
        <v>82.124504800118871</v>
      </c>
      <c r="I264">
        <f t="shared" si="947"/>
        <v>80.858487828514058</v>
      </c>
      <c r="J264">
        <f t="shared" si="947"/>
        <v>78.581220486769553</v>
      </c>
      <c r="K264">
        <f t="shared" si="947"/>
        <v>76.614960292488519</v>
      </c>
      <c r="L264">
        <f t="shared" si="947"/>
        <v>74.7</v>
      </c>
    </row>
    <row r="268" spans="1:13" ht="18.75" x14ac:dyDescent="0.3">
      <c r="B268" s="56">
        <v>2024</v>
      </c>
    </row>
    <row r="269" spans="1:13" x14ac:dyDescent="0.25">
      <c r="C269" s="25">
        <v>1</v>
      </c>
      <c r="D269" s="25">
        <v>2</v>
      </c>
      <c r="E269" s="25">
        <v>3</v>
      </c>
      <c r="F269" s="25">
        <v>4</v>
      </c>
      <c r="G269" s="25">
        <v>5</v>
      </c>
      <c r="H269" s="25">
        <v>6</v>
      </c>
      <c r="I269" s="25">
        <v>7</v>
      </c>
      <c r="J269" s="25">
        <v>8</v>
      </c>
      <c r="K269" s="25">
        <v>9</v>
      </c>
      <c r="L269" s="25">
        <v>10</v>
      </c>
    </row>
    <row r="270" spans="1:13" x14ac:dyDescent="0.25">
      <c r="B270" t="s">
        <v>79</v>
      </c>
      <c r="C270" s="8">
        <f>INDEX(decdoh2024,'матрица расходов'!C269)/расслоение!$M$300</f>
        <v>0.91037843308209354</v>
      </c>
      <c r="D270" s="8">
        <f>INDEX(decdoh2024,'матрица расходов'!D269)/расслоение!$M$300</f>
        <v>1.2869114519886593</v>
      </c>
      <c r="E270" s="8">
        <f>INDEX(decdoh2024,'матрица расходов'!E269)/расслоение!$M$300</f>
        <v>1.7058960463827391</v>
      </c>
      <c r="F270" s="8">
        <f>INDEX(decdoh2024,'матрица расходов'!F269)/расслоение!$M$300</f>
        <v>2.1833557940844304</v>
      </c>
      <c r="G270" s="8">
        <f>INDEX(decdoh2024,'матрица расходов'!G269)/расслоение!$M$300</f>
        <v>2.7413624594230059</v>
      </c>
      <c r="H270" s="8">
        <f>INDEX(decdoh2024,'матрица расходов'!H269)/расслоение!$M$300</f>
        <v>3.4103189140964369</v>
      </c>
      <c r="I270" s="8">
        <f>INDEX(decdoh2024,'матрица расходов'!I269)/расслоение!$M$300</f>
        <v>4.2321037589131549</v>
      </c>
      <c r="J270" s="8">
        <f>INDEX(decdoh2024,'матрица расходов'!J269)/расслоение!$M$300</f>
        <v>5.2644029000959254</v>
      </c>
      <c r="K270" s="8">
        <f>INDEX(decdoh2024,'матрица расходов'!K269)/расслоение!$M$300</f>
        <v>6.5866761025963889</v>
      </c>
      <c r="L270" s="8">
        <f>INDEX(decdoh2024,'матрица расходов'!L269)/расслоение!$M$300</f>
        <v>8.3083756513762808</v>
      </c>
    </row>
    <row r="271" spans="1:13" ht="15.75" thickBot="1" x14ac:dyDescent="0.3"/>
    <row r="272" spans="1:13" x14ac:dyDescent="0.25">
      <c r="A272" s="57" t="s">
        <v>80</v>
      </c>
      <c r="B272" t="s">
        <v>71</v>
      </c>
      <c r="C272">
        <f>IF($A273&lt;=C$4,C$5,0)</f>
        <v>0</v>
      </c>
      <c r="D272">
        <f>IF($A273&gt;C$4,IF($A273&lt;=D$4,C$5+(D$5-C$5)*($A273-C$4)/(D$4-C$4),0),0)</f>
        <v>0</v>
      </c>
      <c r="E272">
        <f>IF($A273&gt;D$4,IF($A273&lt;=E$4,D$5+(E$5-D$5)*($A273-D$4)/(E$4-D$4),0),0)</f>
        <v>12.383175652882461</v>
      </c>
      <c r="F272">
        <f t="shared" ref="F272" si="948">IF($A273&gt;E$4,IF($A273&lt;=F$4,E$5+(F$5-E$5)*($A273-E$4)/(F$4-E$4),0),0)</f>
        <v>0</v>
      </c>
      <c r="G272">
        <f t="shared" ref="G272" si="949">IF($A273&gt;F$4,IF($A273&lt;=G$4,F$5+(G$5-F$5)*($A273-F$4)/(G$4-F$4),0),0)</f>
        <v>0</v>
      </c>
      <c r="H272">
        <f t="shared" ref="H272" si="950">IF($A273&gt;G$4,IF($A273&lt;=H$4,G$5+(H$5-G$5)*($A273-G$4)/(H$4-G$4),0),0)</f>
        <v>0</v>
      </c>
      <c r="I272">
        <f t="shared" ref="I272" si="951">IF($A273&gt;H$4,IF($A273&lt;=I$4,H$5+(I$5-H$5)*($A273-H$4)/(I$4-H$4),0),0)</f>
        <v>0</v>
      </c>
      <c r="J272">
        <f t="shared" ref="J272" si="952">IF($A273&gt;I$4,IF($A273&lt;=J$4,I$5+(J$5-I$5)*($A273-I$4)/(J$4-I$4),0),0)</f>
        <v>0</v>
      </c>
      <c r="K272">
        <f t="shared" ref="K272" si="953">IF($A273&gt;J$4,IF($A273&lt;=K$4,J$5+(K$5-J$5)*($A273-J$4)/(K$4-J$4),0),0)</f>
        <v>0</v>
      </c>
      <c r="L272">
        <f>IF($A273&gt;K$4,IF($A273&lt;=L$4,K$5+(L$5-K$5)*($A273-K$4)/(L$4-K$4),L$5),0)</f>
        <v>0</v>
      </c>
      <c r="M272" s="32">
        <f t="shared" ref="M272:M291" si="954">SUM(C272:L272)</f>
        <v>12.383175652882461</v>
      </c>
    </row>
    <row r="273" spans="1:13" ht="15.75" thickBot="1" x14ac:dyDescent="0.3">
      <c r="A273">
        <f>C270</f>
        <v>0.91037843308209354</v>
      </c>
      <c r="B273" t="s">
        <v>72</v>
      </c>
      <c r="C273">
        <f>IF($A273&lt;=C$4,C$6,0)</f>
        <v>0</v>
      </c>
      <c r="D273">
        <f>IF($A273&gt;C$4,IF($A273&lt;=D$4,C$6+(D$6-C$6)*($A273-C$4)/(D$4-C$4),0),0)</f>
        <v>0</v>
      </c>
      <c r="E273">
        <f t="shared" ref="E273" si="955">IF($A273&gt;D$4,IF($A273&lt;=E$4,D$6+(E$6-D$6)*($A273-D$4)/(E$4-D$4),0),0)</f>
        <v>3.5336486942350778</v>
      </c>
      <c r="F273">
        <f t="shared" ref="F273" si="956">IF($A273&gt;E$4,IF($A273&lt;=F$4,E$6+(F$6-E$6)*($A273-E$4)/(F$4-E$4),0),0)</f>
        <v>0</v>
      </c>
      <c r="G273">
        <f t="shared" ref="G273" si="957">IF($A273&gt;F$4,IF($A273&lt;=G$4,F$6+(G$6-F$6)*($A273-F$4)/(G$4-F$4),0),0)</f>
        <v>0</v>
      </c>
      <c r="H273">
        <f t="shared" ref="H273" si="958">IF($A273&gt;G$4,IF($A273&lt;=H$4,G$6+(H$6-G$6)*($A273-G$4)/(H$4-G$4),0),0)</f>
        <v>0</v>
      </c>
      <c r="I273">
        <f t="shared" ref="I273" si="959">IF($A273&gt;H$4,IF($A273&lt;=I$4,H$6+(I$6-H$6)*($A273-H$4)/(I$4-H$4),0),0)</f>
        <v>0</v>
      </c>
      <c r="J273">
        <f t="shared" ref="J273" si="960">IF($A273&gt;I$4,IF($A273&lt;=J$4,I$6+(J$6-I$6)*($A273-I$4)/(J$4-I$4),0),0)</f>
        <v>0</v>
      </c>
      <c r="K273">
        <f t="shared" ref="K273" si="961">IF($A273&gt;J$4,IF($A273&lt;=K$4,J$6+(K$6-J$6)*($A273-J$4)/(K$4-J$4),0),0)</f>
        <v>0</v>
      </c>
      <c r="L273">
        <f>IF($A273&gt;K$4,IF($A273&lt;=L$4,K$6+(L$6-K$6)*($A273-K$4)/(L$4-K$4),L$6),0)</f>
        <v>0</v>
      </c>
      <c r="M273" s="34">
        <f t="shared" si="954"/>
        <v>3.5336486942350778</v>
      </c>
    </row>
    <row r="274" spans="1:13" x14ac:dyDescent="0.25">
      <c r="A274" s="57" t="s">
        <v>81</v>
      </c>
      <c r="B274" t="s">
        <v>71</v>
      </c>
      <c r="C274">
        <f>IF($A275&lt;=C$4,C$5,0)</f>
        <v>0</v>
      </c>
      <c r="D274">
        <f>IF($A275&gt;C$4,IF($A275&lt;=D$4,C$5+(D$5-C$5)*($A275-C$4)/(D$4-C$4),0),0)</f>
        <v>0</v>
      </c>
      <c r="E274">
        <f>IF($A275&gt;D$4,IF($A275&lt;=E$4,D$5+(E$5-D$5)*($A275-D$4)/(E$4-D$4),0),0)</f>
        <v>0</v>
      </c>
      <c r="F274">
        <f t="shared" ref="F274" si="962">IF($A275&gt;E$4,IF($A275&lt;=F$4,E$5+(F$5-E$5)*($A275-E$4)/(F$4-E$4),0),0)</f>
        <v>12.236817338575479</v>
      </c>
      <c r="G274">
        <f t="shared" ref="G274" si="963">IF($A275&gt;F$4,IF($A275&lt;=G$4,F$5+(G$5-F$5)*($A275-F$4)/(G$4-F$4),0),0)</f>
        <v>0</v>
      </c>
      <c r="H274">
        <f t="shared" ref="H274" si="964">IF($A275&gt;G$4,IF($A275&lt;=H$4,G$5+(H$5-G$5)*($A275-G$4)/(H$4-G$4),0),0)</f>
        <v>0</v>
      </c>
      <c r="I274">
        <f t="shared" ref="I274" si="965">IF($A275&gt;H$4,IF($A275&lt;=I$4,H$5+(I$5-H$5)*($A275-H$4)/(I$4-H$4),0),0)</f>
        <v>0</v>
      </c>
      <c r="J274">
        <f t="shared" ref="J274" si="966">IF($A275&gt;I$4,IF($A275&lt;=J$4,I$5+(J$5-I$5)*($A275-I$4)/(J$4-I$4),0),0)</f>
        <v>0</v>
      </c>
      <c r="K274">
        <f t="shared" ref="K274" si="967">IF($A275&gt;J$4,IF($A275&lt;=K$4,J$5+(K$5-J$5)*($A275-J$4)/(K$4-J$4),0),0)</f>
        <v>0</v>
      </c>
      <c r="L274">
        <f>IF($A275&gt;K$4,IF($A275&lt;=L$4,K$5+(L$5-K$5)*($A275-K$4)/(L$4-K$4),L$5),0)</f>
        <v>0</v>
      </c>
      <c r="M274" s="32">
        <f t="shared" si="954"/>
        <v>12.236817338575479</v>
      </c>
    </row>
    <row r="275" spans="1:13" ht="15.75" thickBot="1" x14ac:dyDescent="0.3">
      <c r="A275">
        <f>D270</f>
        <v>1.2869114519886593</v>
      </c>
      <c r="B275" t="s">
        <v>72</v>
      </c>
      <c r="C275">
        <f>IF($A275&lt;=C$4,C$6,0)</f>
        <v>0</v>
      </c>
      <c r="D275">
        <f>IF($A275&gt;C$4,IF($A275&lt;=D$4,C$6+(D$6-C$6)*($A275-C$4)/(D$4-C$4),0),0)</f>
        <v>0</v>
      </c>
      <c r="E275">
        <f t="shared" ref="E275" si="968">IF($A275&gt;D$4,IF($A275&lt;=E$4,D$6+(E$6-D$6)*($A275-D$4)/(E$4-D$4),0),0)</f>
        <v>0</v>
      </c>
      <c r="F275">
        <f t="shared" ref="F275" si="969">IF($A275&gt;E$4,IF($A275&lt;=F$4,E$6+(F$6-E$6)*($A275-E$4)/(F$4-E$4),0),0)</f>
        <v>3.8263653228490426</v>
      </c>
      <c r="G275">
        <f t="shared" ref="G275" si="970">IF($A275&gt;F$4,IF($A275&lt;=G$4,F$6+(G$6-F$6)*($A275-F$4)/(G$4-F$4),0),0)</f>
        <v>0</v>
      </c>
      <c r="H275">
        <f t="shared" ref="H275" si="971">IF($A275&gt;G$4,IF($A275&lt;=H$4,G$6+(H$6-G$6)*($A275-G$4)/(H$4-G$4),0),0)</f>
        <v>0</v>
      </c>
      <c r="I275">
        <f t="shared" ref="I275" si="972">IF($A275&gt;H$4,IF($A275&lt;=I$4,H$6+(I$6-H$6)*($A275-H$4)/(I$4-H$4),0),0)</f>
        <v>0</v>
      </c>
      <c r="J275">
        <f t="shared" ref="J275" si="973">IF($A275&gt;I$4,IF($A275&lt;=J$4,I$6+(J$6-I$6)*($A275-I$4)/(J$4-I$4),0),0)</f>
        <v>0</v>
      </c>
      <c r="K275">
        <f t="shared" ref="K275" si="974">IF($A275&gt;J$4,IF($A275&lt;=K$4,J$6+(K$6-J$6)*($A275-J$4)/(K$4-J$4),0),0)</f>
        <v>0</v>
      </c>
      <c r="L275">
        <f>IF($A275&gt;K$4,IF($A275&lt;=L$4,K$6+(L$6-K$6)*($A275-K$4)/(L$4-K$4),L$6),0)</f>
        <v>0</v>
      </c>
      <c r="M275" s="34">
        <f t="shared" si="954"/>
        <v>3.8263653228490426</v>
      </c>
    </row>
    <row r="276" spans="1:13" x14ac:dyDescent="0.25">
      <c r="A276" s="57" t="s">
        <v>82</v>
      </c>
      <c r="B276" t="s">
        <v>71</v>
      </c>
      <c r="C276">
        <f>IF($A277&lt;=C$4,C$5,0)</f>
        <v>0</v>
      </c>
      <c r="D276">
        <f>IF($A277&gt;C$4,IF($A277&lt;=D$4,C$5+(D$5-C$5)*($A277-C$4)/(D$4-C$4),0),0)</f>
        <v>0</v>
      </c>
      <c r="E276">
        <f>IF($A277&gt;D$4,IF($A277&lt;=E$4,D$5+(E$5-D$5)*($A277-D$4)/(E$4-D$4),0),0)</f>
        <v>0</v>
      </c>
      <c r="F276">
        <f t="shared" ref="F276" si="975">IF($A277&gt;E$4,IF($A277&lt;=F$4,E$5+(F$5-E$5)*($A277-E$4)/(F$4-E$4),0),0)</f>
        <v>0</v>
      </c>
      <c r="G276">
        <f t="shared" ref="G276" si="976">IF($A277&gt;F$4,IF($A277&lt;=G$4,F$5+(G$5-F$5)*($A277-F$4)/(G$4-F$4),0),0)</f>
        <v>12.112251098227016</v>
      </c>
      <c r="H276">
        <f t="shared" ref="H276" si="977">IF($A277&gt;G$4,IF($A277&lt;=H$4,G$5+(H$5-G$5)*($A277-G$4)/(H$4-G$4),0),0)</f>
        <v>0</v>
      </c>
      <c r="I276">
        <f t="shared" ref="I276" si="978">IF($A277&gt;H$4,IF($A277&lt;=I$4,H$5+(I$5-H$5)*($A277-H$4)/(I$4-H$4),0),0)</f>
        <v>0</v>
      </c>
      <c r="J276">
        <f t="shared" ref="J276" si="979">IF($A277&gt;I$4,IF($A277&lt;=J$4,I$5+(J$5-I$5)*($A277-I$4)/(J$4-I$4),0),0)</f>
        <v>0</v>
      </c>
      <c r="K276">
        <f t="shared" ref="K276" si="980">IF($A277&gt;J$4,IF($A277&lt;=K$4,J$5+(K$5-J$5)*($A277-J$4)/(K$4-J$4),0),0)</f>
        <v>0</v>
      </c>
      <c r="L276">
        <f>IF($A277&gt;K$4,IF($A277&lt;=L$4,K$5+(L$5-K$5)*($A277-K$4)/(L$4-K$4),L$5),0)</f>
        <v>0</v>
      </c>
      <c r="M276" s="32">
        <f t="shared" si="954"/>
        <v>12.112251098227016</v>
      </c>
    </row>
    <row r="277" spans="1:13" ht="15.75" thickBot="1" x14ac:dyDescent="0.3">
      <c r="A277">
        <f>E270</f>
        <v>1.7058960463827391</v>
      </c>
      <c r="B277" t="s">
        <v>72</v>
      </c>
      <c r="C277">
        <f>IF($A277&lt;=C$4,C$6,0)</f>
        <v>0</v>
      </c>
      <c r="D277">
        <f>IF($A277&gt;C$4,IF($A277&lt;=D$4,C$6+(D$6-C$6)*($A277-C$4)/(D$4-C$4),0),0)</f>
        <v>0</v>
      </c>
      <c r="E277">
        <f t="shared" ref="E277" si="981">IF($A277&gt;D$4,IF($A277&lt;=E$4,D$6+(E$6-D$6)*($A277-D$4)/(E$4-D$4),0),0)</f>
        <v>0</v>
      </c>
      <c r="F277">
        <f t="shared" ref="F277" si="982">IF($A277&gt;E$4,IF($A277&lt;=F$4,E$6+(F$6-E$6)*($A277-E$4)/(F$4-E$4),0),0)</f>
        <v>0</v>
      </c>
      <c r="G277">
        <f t="shared" ref="G277" si="983">IF($A277&gt;F$4,IF($A277&lt;=G$4,F$6+(G$6-F$6)*($A277-F$4)/(G$4-F$4),0),0)</f>
        <v>4.0754978035459661</v>
      </c>
      <c r="H277">
        <f t="shared" ref="H277" si="984">IF($A277&gt;G$4,IF($A277&lt;=H$4,G$6+(H$6-G$6)*($A277-G$4)/(H$4-G$4),0),0)</f>
        <v>0</v>
      </c>
      <c r="I277">
        <f t="shared" ref="I277" si="985">IF($A277&gt;H$4,IF($A277&lt;=I$4,H$6+(I$6-H$6)*($A277-H$4)/(I$4-H$4),0),0)</f>
        <v>0</v>
      </c>
      <c r="J277">
        <f t="shared" ref="J277" si="986">IF($A277&gt;I$4,IF($A277&lt;=J$4,I$6+(J$6-I$6)*($A277-I$4)/(J$4-I$4),0),0)</f>
        <v>0</v>
      </c>
      <c r="K277">
        <f t="shared" ref="K277" si="987">IF($A277&gt;J$4,IF($A277&lt;=K$4,J$6+(K$6-J$6)*($A277-J$4)/(K$4-J$4),0),0)</f>
        <v>0</v>
      </c>
      <c r="L277">
        <f>IF($A277&gt;K$4,IF($A277&lt;=L$4,K$6+(L$6-K$6)*($A277-K$4)/(L$4-K$4),L$6),0)</f>
        <v>0</v>
      </c>
      <c r="M277" s="34">
        <f t="shared" si="954"/>
        <v>4.0754978035459661</v>
      </c>
    </row>
    <row r="278" spans="1:13" x14ac:dyDescent="0.25">
      <c r="A278" s="57" t="s">
        <v>83</v>
      </c>
      <c r="B278" t="s">
        <v>71</v>
      </c>
      <c r="C278">
        <f>IF($A279&lt;=C$4,C$5,0)</f>
        <v>0</v>
      </c>
      <c r="D278">
        <f>IF($A279&gt;C$4,IF($A279&lt;=D$4,C$5+(D$5-C$5)*($A279-C$4)/(D$4-C$4),0),0)</f>
        <v>0</v>
      </c>
      <c r="E278">
        <f>IF($A279&gt;D$4,IF($A279&lt;=E$4,D$5+(E$5-D$5)*($A279-D$4)/(E$4-D$4),0),0)</f>
        <v>0</v>
      </c>
      <c r="F278">
        <f t="shared" ref="F278" si="988">IF($A279&gt;E$4,IF($A279&lt;=F$4,E$5+(F$5-E$5)*($A279-E$4)/(F$4-E$4),0),0)</f>
        <v>0</v>
      </c>
      <c r="G278">
        <f t="shared" ref="G278" si="989">IF($A279&gt;F$4,IF($A279&lt;=G$4,F$5+(G$5-F$5)*($A279-F$4)/(G$4-F$4),0),0)</f>
        <v>0</v>
      </c>
      <c r="H278">
        <f t="shared" ref="H278" si="990">IF($A279&gt;G$4,IF($A279&lt;=H$4,G$5+(H$5-G$5)*($A279-G$4)/(H$4-G$4),0),0)</f>
        <v>12.005792218677298</v>
      </c>
      <c r="I278">
        <f t="shared" ref="I278" si="991">IF($A279&gt;H$4,IF($A279&lt;=I$4,H$5+(I$5-H$5)*($A279-H$4)/(I$4-H$4),0),0)</f>
        <v>0</v>
      </c>
      <c r="J278">
        <f t="shared" ref="J278" si="992">IF($A279&gt;I$4,IF($A279&lt;=J$4,I$5+(J$5-I$5)*($A279-I$4)/(J$4-I$4),0),0)</f>
        <v>0</v>
      </c>
      <c r="K278">
        <f t="shared" ref="K278" si="993">IF($A279&gt;J$4,IF($A279&lt;=K$4,J$5+(K$5-J$5)*($A279-J$4)/(K$4-J$4),0),0)</f>
        <v>0</v>
      </c>
      <c r="L278">
        <f>IF($A279&gt;K$4,IF($A279&lt;=L$4,K$5+(L$5-K$5)*($A279-K$4)/(L$4-K$4),L$5),0)</f>
        <v>0</v>
      </c>
      <c r="M278" s="32">
        <f t="shared" si="954"/>
        <v>12.005792218677298</v>
      </c>
    </row>
    <row r="279" spans="1:13" ht="15.75" thickBot="1" x14ac:dyDescent="0.3">
      <c r="A279">
        <f>F270</f>
        <v>2.1833557940844304</v>
      </c>
      <c r="B279" t="s">
        <v>72</v>
      </c>
      <c r="C279">
        <f>IF($A279&lt;=C$4,C$6,0)</f>
        <v>0</v>
      </c>
      <c r="D279">
        <f>IF($A279&gt;C$4,IF($A279&lt;=D$4,C$6+(D$6-C$6)*($A279-C$4)/(D$4-C$4),0),0)</f>
        <v>0</v>
      </c>
      <c r="E279">
        <f t="shared" ref="E279" si="994">IF($A279&gt;D$4,IF($A279&lt;=E$4,D$6+(E$6-D$6)*($A279-D$4)/(E$4-D$4),0),0)</f>
        <v>0</v>
      </c>
      <c r="F279">
        <f t="shared" ref="F279" si="995">IF($A279&gt;E$4,IF($A279&lt;=F$4,E$6+(F$6-E$6)*($A279-E$4)/(F$4-E$4),0),0)</f>
        <v>0</v>
      </c>
      <c r="G279">
        <f t="shared" ref="G279" si="996">IF($A279&gt;F$4,IF($A279&lt;=G$4,F$6+(G$6-F$6)*($A279-F$4)/(G$4-F$4),0),0)</f>
        <v>0</v>
      </c>
      <c r="H279">
        <f t="shared" ref="H279" si="997">IF($A279&gt;G$4,IF($A279&lt;=H$4,G$6+(H$6-G$6)*($A279-G$4)/(H$4-G$4),0),0)</f>
        <v>4.4768311252908095</v>
      </c>
      <c r="I279">
        <f t="shared" ref="I279" si="998">IF($A279&gt;H$4,IF($A279&lt;=I$4,H$6+(I$6-H$6)*($A279-H$4)/(I$4-H$4),0),0)</f>
        <v>0</v>
      </c>
      <c r="J279">
        <f t="shared" ref="J279" si="999">IF($A279&gt;I$4,IF($A279&lt;=J$4,I$6+(J$6-I$6)*($A279-I$4)/(J$4-I$4),0),0)</f>
        <v>0</v>
      </c>
      <c r="K279">
        <f t="shared" ref="K279" si="1000">IF($A279&gt;J$4,IF($A279&lt;=K$4,J$6+(K$6-J$6)*($A279-J$4)/(K$4-J$4),0),0)</f>
        <v>0</v>
      </c>
      <c r="L279">
        <f>IF($A279&gt;K$4,IF($A279&lt;=L$4,K$6+(L$6-K$6)*($A279-K$4)/(L$4-K$4),L$6),0)</f>
        <v>0</v>
      </c>
      <c r="M279" s="34">
        <f t="shared" si="954"/>
        <v>4.4768311252908095</v>
      </c>
    </row>
    <row r="280" spans="1:13" x14ac:dyDescent="0.25">
      <c r="A280" s="57" t="s">
        <v>84</v>
      </c>
      <c r="B280" t="s">
        <v>71</v>
      </c>
      <c r="C280">
        <f>IF($A281&lt;=C$4,C$5,0)</f>
        <v>0</v>
      </c>
      <c r="D280">
        <f>IF($A281&gt;C$4,IF($A281&lt;=D$4,C$5+(D$5-C$5)*($A281-C$4)/(D$4-C$4),0),0)</f>
        <v>0</v>
      </c>
      <c r="E280">
        <f>IF($A281&gt;D$4,IF($A281&lt;=E$4,D$5+(E$5-D$5)*($A281-D$4)/(E$4-D$4),0),0)</f>
        <v>0</v>
      </c>
      <c r="F280">
        <f t="shared" ref="F280" si="1001">IF($A281&gt;E$4,IF($A281&lt;=F$4,E$5+(F$5-E$5)*($A281-E$4)/(F$4-E$4),0),0)</f>
        <v>0</v>
      </c>
      <c r="G280">
        <f t="shared" ref="G280" si="1002">IF($A281&gt;F$4,IF($A281&lt;=G$4,F$5+(G$5-F$5)*($A281-F$4)/(G$4-F$4),0),0)</f>
        <v>0</v>
      </c>
      <c r="H280">
        <f t="shared" ref="H280" si="1003">IF($A281&gt;G$4,IF($A281&lt;=H$4,G$5+(H$5-G$5)*($A281-G$4)/(H$4-G$4),0),0)</f>
        <v>0</v>
      </c>
      <c r="I280">
        <f t="shared" ref="I280" si="1004">IF($A281&gt;H$4,IF($A281&lt;=I$4,H$5+(I$5-H$5)*($A281-H$4)/(I$4-H$4),0),0)</f>
        <v>12</v>
      </c>
      <c r="J280">
        <f t="shared" ref="J280" si="1005">IF($A281&gt;I$4,IF($A281&lt;=J$4,I$5+(J$5-I$5)*($A281-I$4)/(J$4-I$4),0),0)</f>
        <v>0</v>
      </c>
      <c r="K280">
        <f t="shared" ref="K280" si="1006">IF($A281&gt;J$4,IF($A281&lt;=K$4,J$5+(K$5-J$5)*($A281-J$4)/(K$4-J$4),0),0)</f>
        <v>0</v>
      </c>
      <c r="L280">
        <f>IF($A281&gt;K$4,IF($A281&lt;=L$4,K$5+(L$5-K$5)*($A281-K$4)/(L$4-K$4),L$5),0)</f>
        <v>0</v>
      </c>
      <c r="M280" s="32">
        <f t="shared" si="954"/>
        <v>12</v>
      </c>
    </row>
    <row r="281" spans="1:13" ht="15.75" thickBot="1" x14ac:dyDescent="0.3">
      <c r="A281">
        <f>G270</f>
        <v>2.7413624594230059</v>
      </c>
      <c r="B281" t="s">
        <v>72</v>
      </c>
      <c r="C281">
        <f>IF($A281&lt;=C$4,C$6,0)</f>
        <v>0</v>
      </c>
      <c r="D281">
        <f>IF($A281&gt;C$4,IF($A281&lt;=D$4,C$6+(D$6-C$6)*($A281-C$4)/(D$4-C$4),0),0)</f>
        <v>0</v>
      </c>
      <c r="E281">
        <f t="shared" ref="E281" si="1007">IF($A281&gt;D$4,IF($A281&lt;=E$4,D$6+(E$6-D$6)*($A281-D$4)/(E$4-D$4),0),0)</f>
        <v>0</v>
      </c>
      <c r="F281">
        <f t="shared" ref="F281" si="1008">IF($A281&gt;E$4,IF($A281&lt;=F$4,E$6+(F$6-E$6)*($A281-E$4)/(F$4-E$4),0),0)</f>
        <v>0</v>
      </c>
      <c r="G281">
        <f t="shared" ref="G281" si="1009">IF($A281&gt;F$4,IF($A281&lt;=G$4,F$6+(G$6-F$6)*($A281-F$4)/(G$4-F$4),0),0)</f>
        <v>0</v>
      </c>
      <c r="H281">
        <f t="shared" ref="H281" si="1010">IF($A281&gt;G$4,IF($A281&lt;=H$4,G$6+(H$6-G$6)*($A281-G$4)/(H$4-G$4),0),0)</f>
        <v>0</v>
      </c>
      <c r="I281">
        <f t="shared" ref="I281" si="1011">IF($A281&gt;H$4,IF($A281&lt;=I$4,H$6+(I$6-H$6)*($A281-H$4)/(I$4-H$4),0),0)</f>
        <v>5.297043689134509</v>
      </c>
      <c r="J281">
        <f t="shared" ref="J281" si="1012">IF($A281&gt;I$4,IF($A281&lt;=J$4,I$6+(J$6-I$6)*($A281-I$4)/(J$4-I$4),0),0)</f>
        <v>0</v>
      </c>
      <c r="K281">
        <f t="shared" ref="K281" si="1013">IF($A281&gt;J$4,IF($A281&lt;=K$4,J$6+(K$6-J$6)*($A281-J$4)/(K$4-J$4),0),0)</f>
        <v>0</v>
      </c>
      <c r="L281">
        <f>IF($A281&gt;K$4,IF($A281&lt;=L$4,K$6+(L$6-K$6)*($A281-K$4)/(L$4-K$4),L$6),0)</f>
        <v>0</v>
      </c>
      <c r="M281" s="34">
        <f t="shared" si="954"/>
        <v>5.297043689134509</v>
      </c>
    </row>
    <row r="282" spans="1:13" x14ac:dyDescent="0.25">
      <c r="A282" s="57" t="s">
        <v>85</v>
      </c>
      <c r="B282" t="s">
        <v>71</v>
      </c>
      <c r="C282">
        <f>IF($A283&lt;=C$4,C$5,0)</f>
        <v>0</v>
      </c>
      <c r="D282">
        <f>IF($A283&gt;C$4,IF($A283&lt;=D$4,C$5+(D$5-C$5)*($A283-C$4)/(D$4-C$4),0),0)</f>
        <v>0</v>
      </c>
      <c r="E282">
        <f>IF($A283&gt;D$4,IF($A283&lt;=E$4,D$5+(E$5-D$5)*($A283-D$4)/(E$4-D$4),0),0)</f>
        <v>0</v>
      </c>
      <c r="F282">
        <f t="shared" ref="F282" si="1014">IF($A283&gt;E$4,IF($A283&lt;=F$4,E$5+(F$5-E$5)*($A283-E$4)/(F$4-E$4),0),0)</f>
        <v>0</v>
      </c>
      <c r="G282">
        <f t="shared" ref="G282" si="1015">IF($A283&gt;F$4,IF($A283&lt;=G$4,F$5+(G$5-F$5)*($A283-F$4)/(G$4-F$4),0),0)</f>
        <v>0</v>
      </c>
      <c r="H282">
        <f t="shared" ref="H282" si="1016">IF($A283&gt;G$4,IF($A283&lt;=H$4,G$5+(H$5-G$5)*($A283-G$4)/(H$4-G$4),0),0)</f>
        <v>0</v>
      </c>
      <c r="I282">
        <f t="shared" ref="I282" si="1017">IF($A283&gt;H$4,IF($A283&lt;=I$4,H$5+(I$5-H$5)*($A283-H$4)/(I$4-H$4),0),0)</f>
        <v>0</v>
      </c>
      <c r="J282">
        <f t="shared" ref="J282" si="1018">IF($A283&gt;I$4,IF($A283&lt;=J$4,I$5+(J$5-I$5)*($A283-I$4)/(J$4-I$4),0),0)</f>
        <v>11.939361725848846</v>
      </c>
      <c r="K282">
        <f t="shared" ref="K282" si="1019">IF($A283&gt;J$4,IF($A283&lt;=K$4,J$5+(K$5-J$5)*($A283-J$4)/(K$4-J$4),0),0)</f>
        <v>0</v>
      </c>
      <c r="L282">
        <f>IF($A283&gt;K$4,IF($A283&lt;=L$4,K$5+(L$5-K$5)*($A283-K$4)/(L$4-K$4),L$5),0)</f>
        <v>0</v>
      </c>
      <c r="M282" s="32">
        <f t="shared" si="954"/>
        <v>11.939361725848846</v>
      </c>
    </row>
    <row r="283" spans="1:13" ht="15.75" thickBot="1" x14ac:dyDescent="0.3">
      <c r="A283">
        <f>H270</f>
        <v>3.4103189140964369</v>
      </c>
      <c r="B283" t="s">
        <v>72</v>
      </c>
      <c r="C283">
        <f>IF($A283&lt;=C$4,C$6,0)</f>
        <v>0</v>
      </c>
      <c r="D283">
        <f>IF($A283&gt;C$4,IF($A283&lt;=D$4,C$6+(D$6-C$6)*($A283-C$4)/(D$4-C$4),0),0)</f>
        <v>0</v>
      </c>
      <c r="E283">
        <f t="shared" ref="E283" si="1020">IF($A283&gt;D$4,IF($A283&lt;=E$4,D$6+(E$6-D$6)*($A283-D$4)/(E$4-D$4),0),0)</f>
        <v>0</v>
      </c>
      <c r="F283">
        <f t="shared" ref="F283" si="1021">IF($A283&gt;E$4,IF($A283&lt;=F$4,E$6+(F$6-E$6)*($A283-E$4)/(F$4-E$4),0),0)</f>
        <v>0</v>
      </c>
      <c r="G283">
        <f t="shared" ref="G283" si="1022">IF($A283&gt;F$4,IF($A283&lt;=G$4,F$6+(G$6-F$6)*($A283-F$4)/(G$4-F$4),0),0)</f>
        <v>0</v>
      </c>
      <c r="H283">
        <f t="shared" ref="H283" si="1023">IF($A283&gt;G$4,IF($A283&lt;=H$4,G$6+(H$6-G$6)*($A283-G$4)/(H$4-G$4),0),0)</f>
        <v>0</v>
      </c>
      <c r="I283">
        <f t="shared" ref="I283" si="1024">IF($A283&gt;H$4,IF($A283&lt;=I$4,H$6+(I$6-H$6)*($A283-H$4)/(I$4-H$4),0),0)</f>
        <v>0</v>
      </c>
      <c r="J283">
        <f t="shared" ref="J283" si="1025">IF($A283&gt;I$4,IF($A283&lt;=J$4,I$6+(J$6-I$6)*($A283-I$4)/(J$4-I$4),0),0)</f>
        <v>6.0063827415115529</v>
      </c>
      <c r="K283">
        <f t="shared" ref="K283" si="1026">IF($A283&gt;J$4,IF($A283&lt;=K$4,J$6+(K$6-J$6)*($A283-J$4)/(K$4-J$4),0),0)</f>
        <v>0</v>
      </c>
      <c r="L283">
        <f>IF($A283&gt;K$4,IF($A283&lt;=L$4,K$6+(L$6-K$6)*($A283-K$4)/(L$4-K$4),L$6),0)</f>
        <v>0</v>
      </c>
      <c r="M283" s="34">
        <f t="shared" si="954"/>
        <v>6.0063827415115529</v>
      </c>
    </row>
    <row r="284" spans="1:13" x14ac:dyDescent="0.25">
      <c r="A284" s="57" t="s">
        <v>86</v>
      </c>
      <c r="B284" t="s">
        <v>71</v>
      </c>
      <c r="C284">
        <f>IF($A285&lt;=C$4,C$5,0)</f>
        <v>0</v>
      </c>
      <c r="D284">
        <f>IF($A285&gt;C$4,IF($A285&lt;=D$4,C$5+(D$5-C$5)*($A285-C$4)/(D$4-C$4),0),0)</f>
        <v>0</v>
      </c>
      <c r="E284">
        <f>IF($A285&gt;D$4,IF($A285&lt;=E$4,D$5+(E$5-D$5)*($A285-D$4)/(E$4-D$4),0),0)</f>
        <v>0</v>
      </c>
      <c r="F284">
        <f t="shared" ref="F284" si="1027">IF($A285&gt;E$4,IF($A285&lt;=F$4,E$5+(F$5-E$5)*($A285-E$4)/(F$4-E$4),0),0)</f>
        <v>0</v>
      </c>
      <c r="G284">
        <f t="shared" ref="G284" si="1028">IF($A285&gt;F$4,IF($A285&lt;=G$4,F$5+(G$5-F$5)*($A285-F$4)/(G$4-F$4),0),0)</f>
        <v>0</v>
      </c>
      <c r="H284">
        <f t="shared" ref="H284" si="1029">IF($A285&gt;G$4,IF($A285&lt;=H$4,G$5+(H$5-G$5)*($A285-G$4)/(H$4-G$4),0),0)</f>
        <v>0</v>
      </c>
      <c r="I284">
        <f t="shared" ref="I284" si="1030">IF($A285&gt;H$4,IF($A285&lt;=I$4,H$5+(I$5-H$5)*($A285-H$4)/(I$4-H$4),0),0)</f>
        <v>0</v>
      </c>
      <c r="J284">
        <f t="shared" ref="J284" si="1031">IF($A285&gt;I$4,IF($A285&lt;=J$4,I$5+(J$5-I$5)*($A285-I$4)/(J$4-I$4),0),0)</f>
        <v>0</v>
      </c>
      <c r="K284">
        <f t="shared" ref="K284" si="1032">IF($A285&gt;J$4,IF($A285&lt;=K$4,J$5+(K$5-J$5)*($A285-J$4)/(K$4-J$4),0),0)</f>
        <v>11.861071733431247</v>
      </c>
      <c r="L284">
        <f>IF($A285&gt;K$4,IF($A285&lt;=L$4,K$5+(L$5-K$5)*($A285-K$4)/(L$4-K$4),L$5),0)</f>
        <v>0</v>
      </c>
      <c r="M284" s="32">
        <f t="shared" si="954"/>
        <v>11.861071733431247</v>
      </c>
    </row>
    <row r="285" spans="1:13" ht="15.75" thickBot="1" x14ac:dyDescent="0.3">
      <c r="A285">
        <f>I270</f>
        <v>4.2321037589131549</v>
      </c>
      <c r="B285" t="s">
        <v>72</v>
      </c>
      <c r="C285">
        <f>IF($A285&lt;=C$4,C$6,0)</f>
        <v>0</v>
      </c>
      <c r="D285">
        <f>IF($A285&gt;C$4,IF($A285&lt;=D$4,C$6+(D$6-C$6)*($A285-C$4)/(D$4-C$4),0),0)</f>
        <v>0</v>
      </c>
      <c r="E285">
        <f t="shared" ref="E285" si="1033">IF($A285&gt;D$4,IF($A285&lt;=E$4,D$6+(E$6-D$6)*($A285-D$4)/(E$4-D$4),0),0)</f>
        <v>0</v>
      </c>
      <c r="F285">
        <f t="shared" ref="F285" si="1034">IF($A285&gt;E$4,IF($A285&lt;=F$4,E$6+(F$6-E$6)*($A285-E$4)/(F$4-E$4),0),0)</f>
        <v>0</v>
      </c>
      <c r="G285">
        <f t="shared" ref="G285" si="1035">IF($A285&gt;F$4,IF($A285&lt;=G$4,F$6+(G$6-F$6)*($A285-F$4)/(G$4-F$4),0),0)</f>
        <v>0</v>
      </c>
      <c r="H285">
        <f t="shared" ref="H285" si="1036">IF($A285&gt;G$4,IF($A285&lt;=H$4,G$6+(H$6-G$6)*($A285-G$4)/(H$4-G$4),0),0)</f>
        <v>0</v>
      </c>
      <c r="I285">
        <f t="shared" ref="I285" si="1037">IF($A285&gt;H$4,IF($A285&lt;=I$4,H$6+(I$6-H$6)*($A285-H$4)/(I$4-H$4),0),0)</f>
        <v>0</v>
      </c>
      <c r="J285">
        <f t="shared" ref="J285" si="1038">IF($A285&gt;I$4,IF($A285&lt;=J$4,I$6+(J$6-I$6)*($A285-I$4)/(J$4-I$4),0),0)</f>
        <v>0</v>
      </c>
      <c r="K285">
        <f t="shared" ref="K285" si="1039">IF($A285&gt;J$4,IF($A285&lt;=K$4,J$6+(K$6-J$6)*($A285-J$4)/(K$4-J$4),0),0)</f>
        <v>7.5094555972094525</v>
      </c>
      <c r="L285">
        <f>IF($A285&gt;K$4,IF($A285&lt;=L$4,K$6+(L$6-K$6)*($A285-K$4)/(L$4-K$4),L$6),0)</f>
        <v>0</v>
      </c>
      <c r="M285" s="34">
        <f t="shared" si="954"/>
        <v>7.5094555972094525</v>
      </c>
    </row>
    <row r="286" spans="1:13" x14ac:dyDescent="0.25">
      <c r="A286" s="57" t="s">
        <v>87</v>
      </c>
      <c r="B286" t="s">
        <v>71</v>
      </c>
      <c r="C286">
        <f>IF($A287&lt;=C$4,C$5,0)</f>
        <v>0</v>
      </c>
      <c r="D286">
        <f>IF($A287&gt;C$4,IF($A287&lt;=D$4,C$5+(D$5-C$5)*($A287-C$4)/(D$4-C$4),0),0)</f>
        <v>0</v>
      </c>
      <c r="E286">
        <f>IF($A287&gt;D$4,IF($A287&lt;=E$4,D$5+(E$5-D$5)*($A287-D$4)/(E$4-D$4),0),0)</f>
        <v>0</v>
      </c>
      <c r="F286">
        <f t="shared" ref="F286" si="1040">IF($A287&gt;E$4,IF($A287&lt;=F$4,E$5+(F$5-E$5)*($A287-E$4)/(F$4-E$4),0),0)</f>
        <v>0</v>
      </c>
      <c r="G286">
        <f t="shared" ref="G286" si="1041">IF($A287&gt;F$4,IF($A287&lt;=G$4,F$5+(G$5-F$5)*($A287-F$4)/(G$4-F$4),0),0)</f>
        <v>0</v>
      </c>
      <c r="H286">
        <f t="shared" ref="H286" si="1042">IF($A287&gt;G$4,IF($A287&lt;=H$4,G$5+(H$5-G$5)*($A287-G$4)/(H$4-G$4),0),0)</f>
        <v>0</v>
      </c>
      <c r="I286">
        <f t="shared" ref="I286" si="1043">IF($A287&gt;H$4,IF($A287&lt;=I$4,H$5+(I$5-H$5)*($A287-H$4)/(I$4-H$4),0),0)</f>
        <v>0</v>
      </c>
      <c r="J286">
        <f t="shared" ref="J286" si="1044">IF($A287&gt;I$4,IF($A287&lt;=J$4,I$5+(J$5-I$5)*($A287-I$4)/(J$4-I$4),0),0)</f>
        <v>0</v>
      </c>
      <c r="K286">
        <f t="shared" ref="K286" si="1045">IF($A287&gt;J$4,IF($A287&lt;=K$4,J$5+(K$5-J$5)*($A287-J$4)/(K$4-J$4),0),0)</f>
        <v>0</v>
      </c>
      <c r="L286">
        <f>IF($A287&gt;K$4,IF($A287&lt;=L$4,K$5+(L$5-K$5)*($A287-K$4)/(L$4-K$4),L$5),0)</f>
        <v>11.787387797149611</v>
      </c>
      <c r="M286" s="32">
        <f t="shared" si="954"/>
        <v>11.787387797149611</v>
      </c>
    </row>
    <row r="287" spans="1:13" ht="15.75" thickBot="1" x14ac:dyDescent="0.3">
      <c r="A287">
        <f>J270</f>
        <v>5.2644029000959254</v>
      </c>
      <c r="B287" t="s">
        <v>72</v>
      </c>
      <c r="C287">
        <f>IF($A287&lt;=C$4,C$6,0)</f>
        <v>0</v>
      </c>
      <c r="D287">
        <f>IF($A287&gt;C$4,IF($A287&lt;=D$4,C$6+(D$6-C$6)*($A287-C$4)/(D$4-C$4),0),0)</f>
        <v>0</v>
      </c>
      <c r="E287">
        <f t="shared" ref="E287" si="1046">IF($A287&gt;D$4,IF($A287&lt;=E$4,D$6+(E$6-D$6)*($A287-D$4)/(E$4-D$4),0),0)</f>
        <v>0</v>
      </c>
      <c r="F287">
        <f t="shared" ref="F287" si="1047">IF($A287&gt;E$4,IF($A287&lt;=F$4,E$6+(F$6-E$6)*($A287-E$4)/(F$4-E$4),0),0)</f>
        <v>0</v>
      </c>
      <c r="G287">
        <f t="shared" ref="G287" si="1048">IF($A287&gt;F$4,IF($A287&lt;=G$4,F$6+(G$6-F$6)*($A287-F$4)/(G$4-F$4),0),0)</f>
        <v>0</v>
      </c>
      <c r="H287">
        <f t="shared" ref="H287" si="1049">IF($A287&gt;G$4,IF($A287&lt;=H$4,G$6+(H$6-G$6)*($A287-G$4)/(H$4-G$4),0),0)</f>
        <v>0</v>
      </c>
      <c r="I287">
        <f t="shared" ref="I287" si="1050">IF($A287&gt;H$4,IF($A287&lt;=I$4,H$6+(I$6-H$6)*($A287-H$4)/(I$4-H$4),0),0)</f>
        <v>0</v>
      </c>
      <c r="J287">
        <f t="shared" ref="J287" si="1051">IF($A287&gt;I$4,IF($A287&lt;=J$4,I$6+(J$6-I$6)*($A287-I$4)/(J$4-I$4),0),0)</f>
        <v>0</v>
      </c>
      <c r="K287">
        <f t="shared" ref="K287" si="1052">IF($A287&gt;J$4,IF($A287&lt;=K$4,J$6+(K$6-J$6)*($A287-J$4)/(K$4-J$4),0),0)</f>
        <v>0</v>
      </c>
      <c r="L287">
        <f>IF($A287&gt;K$4,IF($A287&lt;=L$4,K$6+(L$6-K$6)*($A287-K$4)/(L$4-K$4),L$6),0)</f>
        <v>9.7986308239919122</v>
      </c>
      <c r="M287" s="34">
        <f t="shared" si="954"/>
        <v>9.7986308239919122</v>
      </c>
    </row>
    <row r="288" spans="1:13" x14ac:dyDescent="0.25">
      <c r="A288" s="57" t="s">
        <v>88</v>
      </c>
      <c r="B288" t="s">
        <v>71</v>
      </c>
      <c r="C288">
        <f>IF($A289&lt;=C$4,C$5,0)</f>
        <v>0</v>
      </c>
      <c r="D288">
        <f>IF($A289&gt;C$4,IF($A289&lt;=D$4,C$5+(D$5-C$5)*($A289-C$4)/(D$4-C$4),0),0)</f>
        <v>0</v>
      </c>
      <c r="E288">
        <f>IF($A289&gt;D$4,IF($A289&lt;=E$4,D$5+(E$5-D$5)*($A289-D$4)/(E$4-D$4),0),0)</f>
        <v>0</v>
      </c>
      <c r="F288">
        <f t="shared" ref="F288" si="1053">IF($A289&gt;E$4,IF($A289&lt;=F$4,E$5+(F$5-E$5)*($A289-E$4)/(F$4-E$4),0),0)</f>
        <v>0</v>
      </c>
      <c r="G288">
        <f t="shared" ref="G288" si="1054">IF($A289&gt;F$4,IF($A289&lt;=G$4,F$5+(G$5-F$5)*($A289-F$4)/(G$4-F$4),0),0)</f>
        <v>0</v>
      </c>
      <c r="H288">
        <f t="shared" ref="H288" si="1055">IF($A289&gt;G$4,IF($A289&lt;=H$4,G$5+(H$5-G$5)*($A289-G$4)/(H$4-G$4),0),0)</f>
        <v>0</v>
      </c>
      <c r="I288">
        <f t="shared" ref="I288" si="1056">IF($A289&gt;H$4,IF($A289&lt;=I$4,H$5+(I$5-H$5)*($A289-H$4)/(I$4-H$4),0),0)</f>
        <v>0</v>
      </c>
      <c r="J288">
        <f t="shared" ref="J288" si="1057">IF($A289&gt;I$4,IF($A289&lt;=J$4,I$5+(J$5-I$5)*($A289-I$4)/(J$4-I$4),0),0)</f>
        <v>0</v>
      </c>
      <c r="K288">
        <f t="shared" ref="K288" si="1058">IF($A289&gt;J$4,IF($A289&lt;=K$4,J$5+(K$5-J$5)*($A289-J$4)/(K$4-J$4),0),0)</f>
        <v>0</v>
      </c>
      <c r="L288">
        <f>IF($A289&gt;K$4,IF($A289&lt;=L$4,K$5+(L$5-K$5)*($A289-K$4)/(L$4-K$4),L$5),0)</f>
        <v>11.740331811295501</v>
      </c>
      <c r="M288" s="32">
        <f t="shared" si="954"/>
        <v>11.740331811295501</v>
      </c>
    </row>
    <row r="289" spans="1:13" ht="15.75" thickBot="1" x14ac:dyDescent="0.3">
      <c r="A289">
        <f>K270</f>
        <v>6.5866761025963889</v>
      </c>
      <c r="B289" t="s">
        <v>72</v>
      </c>
      <c r="C289">
        <f>IF($A289&lt;=C$4,C$6,0)</f>
        <v>0</v>
      </c>
      <c r="D289">
        <f>IF($A289&gt;C$4,IF($A289&lt;=D$4,C$6+(D$6-C$6)*($A289-C$4)/(D$4-C$4),0),0)</f>
        <v>0</v>
      </c>
      <c r="E289">
        <f t="shared" ref="E289" si="1059">IF($A289&gt;D$4,IF($A289&lt;=E$4,D$6+(E$6-D$6)*($A289-D$4)/(E$4-D$4),0),0)</f>
        <v>0</v>
      </c>
      <c r="F289">
        <f t="shared" ref="F289" si="1060">IF($A289&gt;E$4,IF($A289&lt;=F$4,E$6+(F$6-E$6)*($A289-E$4)/(F$4-E$4),0),0)</f>
        <v>0</v>
      </c>
      <c r="G289">
        <f t="shared" ref="G289" si="1061">IF($A289&gt;F$4,IF($A289&lt;=G$4,F$6+(G$6-F$6)*($A289-F$4)/(G$4-F$4),0),0)</f>
        <v>0</v>
      </c>
      <c r="H289">
        <f t="shared" ref="H289" si="1062">IF($A289&gt;G$4,IF($A289&lt;=H$4,G$6+(H$6-G$6)*($A289-G$4)/(H$4-G$4),0),0)</f>
        <v>0</v>
      </c>
      <c r="I289">
        <f t="shared" ref="I289" si="1063">IF($A289&gt;H$4,IF($A289&lt;=I$4,H$6+(I$6-H$6)*($A289-H$4)/(I$4-H$4),0),0)</f>
        <v>0</v>
      </c>
      <c r="J289">
        <f t="shared" ref="J289" si="1064">IF($A289&gt;I$4,IF($A289&lt;=J$4,I$6+(J$6-I$6)*($A289-I$4)/(J$4-I$4),0),0)</f>
        <v>0</v>
      </c>
      <c r="K289">
        <f t="shared" ref="K289" si="1065">IF($A289&gt;J$4,IF($A289&lt;=K$4,J$6+(K$6-J$6)*($A289-J$4)/(K$4-J$4),0),0)</f>
        <v>0</v>
      </c>
      <c r="L289">
        <f>IF($A289&gt;K$4,IF($A289&lt;=L$4,K$6+(L$6-K$6)*($A289-K$4)/(L$4-K$4),L$6),0)</f>
        <v>11.845566208645655</v>
      </c>
      <c r="M289" s="34">
        <f t="shared" si="954"/>
        <v>11.845566208645655</v>
      </c>
    </row>
    <row r="290" spans="1:13" x14ac:dyDescent="0.25">
      <c r="A290" s="57" t="s">
        <v>89</v>
      </c>
      <c r="B290" t="s">
        <v>71</v>
      </c>
      <c r="C290">
        <f>IF($A291&lt;=C$4,C$5,0)</f>
        <v>0</v>
      </c>
      <c r="D290">
        <f>IF($A291&gt;C$4,IF($A291&lt;=D$4,C$5+(D$5-C$5)*($A291-C$4)/(D$4-C$4),0),0)</f>
        <v>0</v>
      </c>
      <c r="E290">
        <f>IF($A291&gt;D$4,IF($A291&lt;=E$4,D$5+(E$5-D$5)*($A291-D$4)/(E$4-D$4),0),0)</f>
        <v>0</v>
      </c>
      <c r="F290">
        <f t="shared" ref="F290" si="1066">IF($A291&gt;E$4,IF($A291&lt;=F$4,E$5+(F$5-E$5)*($A291-E$4)/(F$4-E$4),0),0)</f>
        <v>0</v>
      </c>
      <c r="G290">
        <f t="shared" ref="G290" si="1067">IF($A291&gt;F$4,IF($A291&lt;=G$4,F$5+(G$5-F$5)*($A291-F$4)/(G$4-F$4),0),0)</f>
        <v>0</v>
      </c>
      <c r="H290">
        <f t="shared" ref="H290" si="1068">IF($A291&gt;G$4,IF($A291&lt;=H$4,G$5+(H$5-G$5)*($A291-G$4)/(H$4-G$4),0),0)</f>
        <v>0</v>
      </c>
      <c r="I290">
        <f t="shared" ref="I290" si="1069">IF($A291&gt;H$4,IF($A291&lt;=I$4,H$5+(I$5-H$5)*($A291-H$4)/(I$4-H$4),0),0)</f>
        <v>0</v>
      </c>
      <c r="J290">
        <f t="shared" ref="J290" si="1070">IF($A291&gt;I$4,IF($A291&lt;=J$4,I$5+(J$5-I$5)*($A291-I$4)/(J$4-I$4),0),0)</f>
        <v>0</v>
      </c>
      <c r="K290">
        <f t="shared" ref="K290" si="1071">IF($A291&gt;J$4,IF($A291&lt;=K$4,J$5+(K$5-J$5)*($A291-J$4)/(K$4-J$4),0),0)</f>
        <v>0</v>
      </c>
      <c r="L290">
        <f>IF($A291&gt;K$4,IF($A291&lt;=L$4,K$5+(L$5-K$5)*($A291-K$4)/(L$4-K$4),L$5),0)</f>
        <v>11.7</v>
      </c>
      <c r="M290" s="32">
        <f t="shared" si="954"/>
        <v>11.7</v>
      </c>
    </row>
    <row r="291" spans="1:13" ht="15.75" thickBot="1" x14ac:dyDescent="0.3">
      <c r="A291">
        <f>L270</f>
        <v>8.3083756513762808</v>
      </c>
      <c r="B291" t="s">
        <v>72</v>
      </c>
      <c r="C291">
        <f>IF($A291&lt;=C$4,C$6,0)</f>
        <v>0</v>
      </c>
      <c r="D291">
        <f>IF($A291&gt;C$4,IF($A291&lt;=D$4,C$6+(D$6-C$6)*($A291-C$4)/(D$4-C$4),0),0)</f>
        <v>0</v>
      </c>
      <c r="E291">
        <f t="shared" ref="E291" si="1072">IF($A291&gt;D$4,IF($A291&lt;=E$4,D$6+(E$6-D$6)*($A291-D$4)/(E$4-D$4),0),0)</f>
        <v>0</v>
      </c>
      <c r="F291">
        <f t="shared" ref="F291" si="1073">IF($A291&gt;E$4,IF($A291&lt;=F$4,E$6+(F$6-E$6)*($A291-E$4)/(F$4-E$4),0),0)</f>
        <v>0</v>
      </c>
      <c r="G291">
        <f t="shared" ref="G291" si="1074">IF($A291&gt;F$4,IF($A291&lt;=G$4,F$6+(G$6-F$6)*($A291-F$4)/(G$4-F$4),0),0)</f>
        <v>0</v>
      </c>
      <c r="H291">
        <f t="shared" ref="H291" si="1075">IF($A291&gt;G$4,IF($A291&lt;=H$4,G$6+(H$6-G$6)*($A291-G$4)/(H$4-G$4),0),0)</f>
        <v>0</v>
      </c>
      <c r="I291">
        <f t="shared" ref="I291" si="1076">IF($A291&gt;H$4,IF($A291&lt;=I$4,H$6+(I$6-H$6)*($A291-H$4)/(I$4-H$4),0),0)</f>
        <v>0</v>
      </c>
      <c r="J291">
        <f t="shared" ref="J291" si="1077">IF($A291&gt;I$4,IF($A291&lt;=J$4,I$6+(J$6-I$6)*($A291-I$4)/(J$4-I$4),0),0)</f>
        <v>0</v>
      </c>
      <c r="K291">
        <f t="shared" ref="K291" si="1078">IF($A291&gt;J$4,IF($A291&lt;=K$4,J$6+(K$6-J$6)*($A291-J$4)/(K$4-J$4),0),0)</f>
        <v>0</v>
      </c>
      <c r="L291">
        <f>IF($A291&gt;K$4,IF($A291&lt;=L$4,K$6+(L$6-K$6)*($A291-K$4)/(L$4-K$4),L$6),0)</f>
        <v>13.6</v>
      </c>
      <c r="M291" s="34">
        <f t="shared" si="954"/>
        <v>13.6</v>
      </c>
    </row>
    <row r="293" spans="1:13" x14ac:dyDescent="0.25">
      <c r="B293" t="s">
        <v>90</v>
      </c>
    </row>
    <row r="294" spans="1:13" ht="15.75" thickBot="1" x14ac:dyDescent="0.3">
      <c r="C294" s="25">
        <v>1</v>
      </c>
      <c r="D294" s="25">
        <v>2</v>
      </c>
      <c r="E294" s="25">
        <v>3</v>
      </c>
      <c r="F294" s="25">
        <v>4</v>
      </c>
      <c r="G294" s="25">
        <v>5</v>
      </c>
      <c r="H294" s="25">
        <v>6</v>
      </c>
      <c r="I294" s="25">
        <v>7</v>
      </c>
      <c r="J294" s="25">
        <v>8</v>
      </c>
      <c r="K294" s="25">
        <v>9</v>
      </c>
      <c r="L294" s="25">
        <v>10</v>
      </c>
    </row>
    <row r="295" spans="1:13" x14ac:dyDescent="0.25">
      <c r="B295" t="s">
        <v>71</v>
      </c>
      <c r="C295" s="58">
        <f>M272</f>
        <v>12.383175652882461</v>
      </c>
      <c r="D295" s="59">
        <f>M274</f>
        <v>12.236817338575479</v>
      </c>
      <c r="E295" s="59">
        <f>M276</f>
        <v>12.112251098227016</v>
      </c>
      <c r="F295" s="59">
        <f>M278</f>
        <v>12.005792218677298</v>
      </c>
      <c r="G295" s="59">
        <f>M280</f>
        <v>12</v>
      </c>
      <c r="H295" s="59">
        <f>M282</f>
        <v>11.939361725848846</v>
      </c>
      <c r="I295" s="59">
        <f>M284</f>
        <v>11.861071733431247</v>
      </c>
      <c r="J295" s="59">
        <f>M286</f>
        <v>11.787387797149611</v>
      </c>
      <c r="K295" s="59">
        <f>M288</f>
        <v>11.740331811295501</v>
      </c>
      <c r="L295" s="60">
        <f>M290</f>
        <v>11.7</v>
      </c>
    </row>
    <row r="296" spans="1:13" ht="15.75" thickBot="1" x14ac:dyDescent="0.3">
      <c r="B296" t="s">
        <v>72</v>
      </c>
      <c r="C296" s="52">
        <f>M273</f>
        <v>3.5336486942350778</v>
      </c>
      <c r="D296" s="53">
        <f t="shared" ref="D296" si="1079">M275</f>
        <v>3.8263653228490426</v>
      </c>
      <c r="E296" s="53">
        <f>M277</f>
        <v>4.0754978035459661</v>
      </c>
      <c r="F296" s="53">
        <f>M279</f>
        <v>4.4768311252908095</v>
      </c>
      <c r="G296" s="53">
        <f>M281</f>
        <v>5.297043689134509</v>
      </c>
      <c r="H296" s="53">
        <f>M283</f>
        <v>6.0063827415115529</v>
      </c>
      <c r="I296" s="53">
        <f>M285</f>
        <v>7.5094555972094525</v>
      </c>
      <c r="J296" s="53">
        <f>M287</f>
        <v>9.7986308239919122</v>
      </c>
      <c r="K296" s="53">
        <f>M289</f>
        <v>11.845566208645655</v>
      </c>
      <c r="L296" s="54">
        <f>M291</f>
        <v>13.6</v>
      </c>
    </row>
    <row r="297" spans="1:13" x14ac:dyDescent="0.25">
      <c r="B297" t="s">
        <v>161</v>
      </c>
      <c r="C297">
        <f>100-C295-C296</f>
        <v>84.08317565288246</v>
      </c>
      <c r="D297">
        <f t="shared" ref="D297:L297" si="1080">100-D295-D296</f>
        <v>83.93681733857548</v>
      </c>
      <c r="E297">
        <f t="shared" si="1080"/>
        <v>83.812251098227009</v>
      </c>
      <c r="F297">
        <f t="shared" si="1080"/>
        <v>83.517376656031885</v>
      </c>
      <c r="G297">
        <f t="shared" si="1080"/>
        <v>82.702956310865488</v>
      </c>
      <c r="H297">
        <f t="shared" si="1080"/>
        <v>82.054255532639601</v>
      </c>
      <c r="I297">
        <f t="shared" si="1080"/>
        <v>80.629472669359302</v>
      </c>
      <c r="J297">
        <f t="shared" si="1080"/>
        <v>78.41398137885848</v>
      </c>
      <c r="K297">
        <f t="shared" si="1080"/>
        <v>76.414101980058845</v>
      </c>
      <c r="L297">
        <f t="shared" si="1080"/>
        <v>74.7</v>
      </c>
    </row>
    <row r="302" spans="1:13" ht="18.75" x14ac:dyDescent="0.3">
      <c r="B302" s="56">
        <v>2025</v>
      </c>
    </row>
    <row r="303" spans="1:13" x14ac:dyDescent="0.25">
      <c r="C303" s="25">
        <v>1</v>
      </c>
      <c r="D303" s="25">
        <v>2</v>
      </c>
      <c r="E303" s="25">
        <v>3</v>
      </c>
      <c r="F303" s="25">
        <v>4</v>
      </c>
      <c r="G303" s="25">
        <v>5</v>
      </c>
      <c r="H303" s="25">
        <v>6</v>
      </c>
      <c r="I303" s="25">
        <v>7</v>
      </c>
      <c r="J303" s="25">
        <v>8</v>
      </c>
      <c r="K303" s="25">
        <v>9</v>
      </c>
      <c r="L303" s="25">
        <v>10</v>
      </c>
    </row>
    <row r="304" spans="1:13" x14ac:dyDescent="0.25">
      <c r="B304" t="s">
        <v>79</v>
      </c>
      <c r="C304" s="8">
        <f>INDEX(decdoh2025,'матрица расходов'!C303)/расслоение!$M$329</f>
        <v>0.94121490253463647</v>
      </c>
      <c r="D304" s="8">
        <f>INDEX(decdoh2025,'матрица расходов'!D303)/расслоение!$M$329</f>
        <v>1.329327804326965</v>
      </c>
      <c r="E304" s="8">
        <f>INDEX(decdoh2025,'матрица расходов'!E303)/расслоение!$M$329</f>
        <v>1.7606750807486897</v>
      </c>
      <c r="F304" s="8">
        <f>INDEX(decdoh2025,'матрица расходов'!F303)/расслоение!$M$329</f>
        <v>2.2515757814091986</v>
      </c>
      <c r="G304" s="8">
        <f>INDEX(decdoh2025,'матрица расходов'!G303)/расслоение!$M$329</f>
        <v>2.8245086698593096</v>
      </c>
      <c r="H304" s="8">
        <f>INDEX(decdoh2025,'матрица расходов'!H303)/расслоение!$M$329</f>
        <v>3.5104372410860623</v>
      </c>
      <c r="I304" s="8">
        <f>INDEX(decdoh2025,'матрица расходов'!I303)/расслоение!$M$329</f>
        <v>4.3520123294934532</v>
      </c>
      <c r="J304" s="8">
        <f>INDEX(decdoh2025,'матрица расходов'!J303)/расслоение!$M$329</f>
        <v>5.4079835586662375</v>
      </c>
      <c r="K304" s="8">
        <f>INDEX(decdoh2025,'матрица расходов'!K303)/расслоение!$M$329</f>
        <v>6.7592759168158274</v>
      </c>
      <c r="L304" s="8">
        <f>INDEX(decdoh2025,'матрица расходов'!L303)/расслоение!$M$329</f>
        <v>8.5173599686441435</v>
      </c>
    </row>
    <row r="305" spans="1:13" ht="15.75" thickBot="1" x14ac:dyDescent="0.3"/>
    <row r="306" spans="1:13" x14ac:dyDescent="0.25">
      <c r="A306" s="57" t="s">
        <v>80</v>
      </c>
      <c r="B306" t="s">
        <v>71</v>
      </c>
      <c r="C306">
        <f>IF($A307&lt;=C$4,C$5,0)</f>
        <v>0</v>
      </c>
      <c r="D306">
        <f>IF($A307&gt;C$4,IF($A307&lt;=D$4,C$5+(D$5-C$5)*($A307-C$4)/(D$4-C$4),0),0)</f>
        <v>0</v>
      </c>
      <c r="E306">
        <f>IF($A307&gt;D$4,IF($A307&lt;=E$4,D$5+(E$5-D$5)*($A307-D$4)/(E$4-D$4),0),0)</f>
        <v>12.370327123943902</v>
      </c>
      <c r="F306">
        <f t="shared" ref="F306" si="1081">IF($A307&gt;E$4,IF($A307&lt;=F$4,E$5+(F$5-E$5)*($A307-E$4)/(F$4-E$4),0),0)</f>
        <v>0</v>
      </c>
      <c r="G306">
        <f t="shared" ref="G306" si="1082">IF($A307&gt;F$4,IF($A307&lt;=G$4,F$5+(G$5-F$5)*($A307-F$4)/(G$4-F$4),0),0)</f>
        <v>0</v>
      </c>
      <c r="H306">
        <f t="shared" ref="H306" si="1083">IF($A307&gt;G$4,IF($A307&lt;=H$4,G$5+(H$5-G$5)*($A307-G$4)/(H$4-G$4),0),0)</f>
        <v>0</v>
      </c>
      <c r="I306">
        <f t="shared" ref="I306" si="1084">IF($A307&gt;H$4,IF($A307&lt;=I$4,H$5+(I$5-H$5)*($A307-H$4)/(I$4-H$4),0),0)</f>
        <v>0</v>
      </c>
      <c r="J306">
        <f t="shared" ref="J306" si="1085">IF($A307&gt;I$4,IF($A307&lt;=J$4,I$5+(J$5-I$5)*($A307-I$4)/(J$4-I$4),0),0)</f>
        <v>0</v>
      </c>
      <c r="K306">
        <f t="shared" ref="K306" si="1086">IF($A307&gt;J$4,IF($A307&lt;=K$4,J$5+(K$5-J$5)*($A307-J$4)/(K$4-J$4),0),0)</f>
        <v>0</v>
      </c>
      <c r="L306">
        <f>IF($A307&gt;K$4,IF($A307&lt;=L$4,K$5+(L$5-K$5)*($A307-K$4)/(L$4-K$4),L$5),0)</f>
        <v>0</v>
      </c>
      <c r="M306" s="32">
        <f t="shared" ref="M306:M325" si="1087">SUM(C306:L306)</f>
        <v>12.370327123943902</v>
      </c>
    </row>
    <row r="307" spans="1:13" ht="15.75" thickBot="1" x14ac:dyDescent="0.3">
      <c r="A307">
        <f>C304</f>
        <v>0.94121490253463647</v>
      </c>
      <c r="B307" t="s">
        <v>72</v>
      </c>
      <c r="C307">
        <f>IF($A307&lt;=C$4,C$6,0)</f>
        <v>0</v>
      </c>
      <c r="D307">
        <f>IF($A307&gt;C$4,IF($A307&lt;=D$4,C$6+(D$6-C$6)*($A307-C$4)/(D$4-C$4),0),0)</f>
        <v>0</v>
      </c>
      <c r="E307">
        <f t="shared" ref="E307" si="1088">IF($A307&gt;D$4,IF($A307&lt;=E$4,D$6+(E$6-D$6)*($A307-D$4)/(E$4-D$4),0),0)</f>
        <v>3.5593457521121969</v>
      </c>
      <c r="F307">
        <f t="shared" ref="F307" si="1089">IF($A307&gt;E$4,IF($A307&lt;=F$4,E$6+(F$6-E$6)*($A307-E$4)/(F$4-E$4),0),0)</f>
        <v>0</v>
      </c>
      <c r="G307">
        <f t="shared" ref="G307" si="1090">IF($A307&gt;F$4,IF($A307&lt;=G$4,F$6+(G$6-F$6)*($A307-F$4)/(G$4-F$4),0),0)</f>
        <v>0</v>
      </c>
      <c r="H307">
        <f t="shared" ref="H307" si="1091">IF($A307&gt;G$4,IF($A307&lt;=H$4,G$6+(H$6-G$6)*($A307-G$4)/(H$4-G$4),0),0)</f>
        <v>0</v>
      </c>
      <c r="I307">
        <f t="shared" ref="I307" si="1092">IF($A307&gt;H$4,IF($A307&lt;=I$4,H$6+(I$6-H$6)*($A307-H$4)/(I$4-H$4),0),0)</f>
        <v>0</v>
      </c>
      <c r="J307">
        <f t="shared" ref="J307" si="1093">IF($A307&gt;I$4,IF($A307&lt;=J$4,I$6+(J$6-I$6)*($A307-I$4)/(J$4-I$4),0),0)</f>
        <v>0</v>
      </c>
      <c r="K307">
        <f t="shared" ref="K307" si="1094">IF($A307&gt;J$4,IF($A307&lt;=K$4,J$6+(K$6-J$6)*($A307-J$4)/(K$4-J$4),0),0)</f>
        <v>0</v>
      </c>
      <c r="L307">
        <f>IF($A307&gt;K$4,IF($A307&lt;=L$4,K$6+(L$6-K$6)*($A307-K$4)/(L$4-K$4),L$6),0)</f>
        <v>0</v>
      </c>
      <c r="M307" s="34">
        <f t="shared" si="1087"/>
        <v>3.5593457521121969</v>
      </c>
    </row>
    <row r="308" spans="1:13" x14ac:dyDescent="0.25">
      <c r="A308" s="57" t="s">
        <v>81</v>
      </c>
      <c r="B308" t="s">
        <v>71</v>
      </c>
      <c r="C308">
        <f>IF($A309&lt;=C$4,C$5,0)</f>
        <v>0</v>
      </c>
      <c r="D308">
        <f>IF($A309&gt;C$4,IF($A309&lt;=D$4,C$5+(D$5-C$5)*($A309-C$4)/(D$4-C$4),0),0)</f>
        <v>0</v>
      </c>
      <c r="E308">
        <f>IF($A309&gt;D$4,IF($A309&lt;=E$4,D$5+(E$5-D$5)*($A309-D$4)/(E$4-D$4),0),0)</f>
        <v>0</v>
      </c>
      <c r="F308">
        <f t="shared" ref="F308" si="1095">IF($A309&gt;E$4,IF($A309&lt;=F$4,E$5+(F$5-E$5)*($A309-E$4)/(F$4-E$4),0),0)</f>
        <v>12.221668641311798</v>
      </c>
      <c r="G308">
        <f t="shared" ref="G308" si="1096">IF($A309&gt;F$4,IF($A309&lt;=G$4,F$5+(G$5-F$5)*($A309-F$4)/(G$4-F$4),0),0)</f>
        <v>0</v>
      </c>
      <c r="H308">
        <f t="shared" ref="H308" si="1097">IF($A309&gt;G$4,IF($A309&lt;=H$4,G$5+(H$5-G$5)*($A309-G$4)/(H$4-G$4),0),0)</f>
        <v>0</v>
      </c>
      <c r="I308">
        <f t="shared" ref="I308" si="1098">IF($A309&gt;H$4,IF($A309&lt;=I$4,H$5+(I$5-H$5)*($A309-H$4)/(I$4-H$4),0),0)</f>
        <v>0</v>
      </c>
      <c r="J308">
        <f t="shared" ref="J308" si="1099">IF($A309&gt;I$4,IF($A309&lt;=J$4,I$5+(J$5-I$5)*($A309-I$4)/(J$4-I$4),0),0)</f>
        <v>0</v>
      </c>
      <c r="K308">
        <f t="shared" ref="K308" si="1100">IF($A309&gt;J$4,IF($A309&lt;=K$4,J$5+(K$5-J$5)*($A309-J$4)/(K$4-J$4),0),0)</f>
        <v>0</v>
      </c>
      <c r="L308">
        <f>IF($A309&gt;K$4,IF($A309&lt;=L$4,K$5+(L$5-K$5)*($A309-K$4)/(L$4-K$4),L$5),0)</f>
        <v>0</v>
      </c>
      <c r="M308" s="32">
        <f t="shared" si="1087"/>
        <v>12.221668641311798</v>
      </c>
    </row>
    <row r="309" spans="1:13" ht="15.75" thickBot="1" x14ac:dyDescent="0.3">
      <c r="A309">
        <f>D304</f>
        <v>1.329327804326965</v>
      </c>
      <c r="B309" t="s">
        <v>72</v>
      </c>
      <c r="C309">
        <f>IF($A309&lt;=C$4,C$6,0)</f>
        <v>0</v>
      </c>
      <c r="D309">
        <f>IF($A309&gt;C$4,IF($A309&lt;=D$4,C$6+(D$6-C$6)*($A309-C$4)/(D$4-C$4),0),0)</f>
        <v>0</v>
      </c>
      <c r="E309">
        <f t="shared" ref="E309" si="1101">IF($A309&gt;D$4,IF($A309&lt;=E$4,D$6+(E$6-D$6)*($A309-D$4)/(E$4-D$4),0),0)</f>
        <v>0</v>
      </c>
      <c r="F309">
        <f t="shared" ref="F309" si="1102">IF($A309&gt;E$4,IF($A309&lt;=F$4,E$6+(F$6-E$6)*($A309-E$4)/(F$4-E$4),0),0)</f>
        <v>3.8566627173764036</v>
      </c>
      <c r="G309">
        <f t="shared" ref="G309" si="1103">IF($A309&gt;F$4,IF($A309&lt;=G$4,F$6+(G$6-F$6)*($A309-F$4)/(G$4-F$4),0),0)</f>
        <v>0</v>
      </c>
      <c r="H309">
        <f t="shared" ref="H309" si="1104">IF($A309&gt;G$4,IF($A309&lt;=H$4,G$6+(H$6-G$6)*($A309-G$4)/(H$4-G$4),0),0)</f>
        <v>0</v>
      </c>
      <c r="I309">
        <f t="shared" ref="I309" si="1105">IF($A309&gt;H$4,IF($A309&lt;=I$4,H$6+(I$6-H$6)*($A309-H$4)/(I$4-H$4),0),0)</f>
        <v>0</v>
      </c>
      <c r="J309">
        <f t="shared" ref="J309" si="1106">IF($A309&gt;I$4,IF($A309&lt;=J$4,I$6+(J$6-I$6)*($A309-I$4)/(J$4-I$4),0),0)</f>
        <v>0</v>
      </c>
      <c r="K309">
        <f t="shared" ref="K309" si="1107">IF($A309&gt;J$4,IF($A309&lt;=K$4,J$6+(K$6-J$6)*($A309-J$4)/(K$4-J$4),0),0)</f>
        <v>0</v>
      </c>
      <c r="L309">
        <f>IF($A309&gt;K$4,IF($A309&lt;=L$4,K$6+(L$6-K$6)*($A309-K$4)/(L$4-K$4),L$6),0)</f>
        <v>0</v>
      </c>
      <c r="M309" s="34">
        <f t="shared" si="1087"/>
        <v>3.8566627173764036</v>
      </c>
    </row>
    <row r="310" spans="1:13" x14ac:dyDescent="0.25">
      <c r="A310" s="57" t="s">
        <v>82</v>
      </c>
      <c r="B310" t="s">
        <v>71</v>
      </c>
      <c r="C310">
        <f>IF($A311&lt;=C$4,C$5,0)</f>
        <v>0</v>
      </c>
      <c r="D310">
        <f>IF($A311&gt;C$4,IF($A311&lt;=D$4,C$5+(D$5-C$5)*($A311-C$4)/(D$4-C$4),0),0)</f>
        <v>0</v>
      </c>
      <c r="E310">
        <f>IF($A311&gt;D$4,IF($A311&lt;=E$4,D$5+(E$5-D$5)*($A311-D$4)/(E$4-D$4),0),0)</f>
        <v>0</v>
      </c>
      <c r="F310">
        <f t="shared" ref="F310" si="1108">IF($A311&gt;E$4,IF($A311&lt;=F$4,E$5+(F$5-E$5)*($A311-E$4)/(F$4-E$4),0),0)</f>
        <v>0</v>
      </c>
      <c r="G310">
        <f t="shared" ref="G310" si="1109">IF($A311&gt;F$4,IF($A311&lt;=G$4,F$5+(G$5-F$5)*($A311-F$4)/(G$4-F$4),0),0)</f>
        <v>0</v>
      </c>
      <c r="H310">
        <f t="shared" ref="H310" si="1110">IF($A311&gt;G$4,IF($A311&lt;=H$4,G$5+(H$5-G$5)*($A311-G$4)/(H$4-G$4),0),0)</f>
        <v>12.097679330272024</v>
      </c>
      <c r="I310">
        <f t="shared" ref="I310" si="1111">IF($A311&gt;H$4,IF($A311&lt;=I$4,H$5+(I$5-H$5)*($A311-H$4)/(I$4-H$4),0),0)</f>
        <v>0</v>
      </c>
      <c r="J310">
        <f t="shared" ref="J310" si="1112">IF($A311&gt;I$4,IF($A311&lt;=J$4,I$5+(J$5-I$5)*($A311-I$4)/(J$4-I$4),0),0)</f>
        <v>0</v>
      </c>
      <c r="K310">
        <f t="shared" ref="K310" si="1113">IF($A311&gt;J$4,IF($A311&lt;=K$4,J$5+(K$5-J$5)*($A311-J$4)/(K$4-J$4),0),0)</f>
        <v>0</v>
      </c>
      <c r="L310">
        <f>IF($A311&gt;K$4,IF($A311&lt;=L$4,K$5+(L$5-K$5)*($A311-K$4)/(L$4-K$4),L$5),0)</f>
        <v>0</v>
      </c>
      <c r="M310" s="32">
        <f t="shared" si="1087"/>
        <v>12.097679330272024</v>
      </c>
    </row>
    <row r="311" spans="1:13" ht="15.75" thickBot="1" x14ac:dyDescent="0.3">
      <c r="A311">
        <f>E304</f>
        <v>1.7606750807486897</v>
      </c>
      <c r="B311" t="s">
        <v>72</v>
      </c>
      <c r="C311">
        <f>IF($A311&lt;=C$4,C$6,0)</f>
        <v>0</v>
      </c>
      <c r="D311">
        <f>IF($A311&gt;C$4,IF($A311&lt;=D$4,C$6+(D$6-C$6)*($A311-C$4)/(D$4-C$4),0),0)</f>
        <v>0</v>
      </c>
      <c r="E311">
        <f t="shared" ref="E311" si="1114">IF($A311&gt;D$4,IF($A311&lt;=E$4,D$6+(E$6-D$6)*($A311-D$4)/(E$4-D$4),0),0)</f>
        <v>0</v>
      </c>
      <c r="F311">
        <f t="shared" ref="F311" si="1115">IF($A311&gt;E$4,IF($A311&lt;=F$4,E$6+(F$6-E$6)*($A311-E$4)/(F$4-E$4),0),0)</f>
        <v>0</v>
      </c>
      <c r="G311">
        <f t="shared" ref="G311" si="1116">IF($A311&gt;F$4,IF($A311&lt;=G$4,F$6+(G$6-F$6)*($A311-F$4)/(G$4-F$4),0),0)</f>
        <v>0</v>
      </c>
      <c r="H311">
        <f t="shared" ref="H311" si="1117">IF($A311&gt;G$4,IF($A311&lt;=H$4,G$6+(H$6-G$6)*($A311-G$4)/(H$4-G$4),0),0)</f>
        <v>4.1092826789119039</v>
      </c>
      <c r="I311">
        <f t="shared" ref="I311" si="1118">IF($A311&gt;H$4,IF($A311&lt;=I$4,H$6+(I$6-H$6)*($A311-H$4)/(I$4-H$4),0),0)</f>
        <v>0</v>
      </c>
      <c r="J311">
        <f t="shared" ref="J311" si="1119">IF($A311&gt;I$4,IF($A311&lt;=J$4,I$6+(J$6-I$6)*($A311-I$4)/(J$4-I$4),0),0)</f>
        <v>0</v>
      </c>
      <c r="K311">
        <f t="shared" ref="K311" si="1120">IF($A311&gt;J$4,IF($A311&lt;=K$4,J$6+(K$6-J$6)*($A311-J$4)/(K$4-J$4),0),0)</f>
        <v>0</v>
      </c>
      <c r="L311">
        <f>IF($A311&gt;K$4,IF($A311&lt;=L$4,K$6+(L$6-K$6)*($A311-K$4)/(L$4-K$4),L$6),0)</f>
        <v>0</v>
      </c>
      <c r="M311" s="34">
        <f t="shared" si="1087"/>
        <v>4.1092826789119039</v>
      </c>
    </row>
    <row r="312" spans="1:13" x14ac:dyDescent="0.25">
      <c r="A312" s="57" t="s">
        <v>83</v>
      </c>
      <c r="B312" t="s">
        <v>71</v>
      </c>
      <c r="C312">
        <f>IF($A313&lt;=C$4,C$5,0)</f>
        <v>0</v>
      </c>
      <c r="D312">
        <f>IF($A313&gt;C$4,IF($A313&lt;=D$4,C$5+(D$5-C$5)*($A313-C$4)/(D$4-C$4),0),0)</f>
        <v>0</v>
      </c>
      <c r="E312">
        <f>IF($A313&gt;D$4,IF($A313&lt;=E$4,D$5+(E$5-D$5)*($A313-D$4)/(E$4-D$4),0),0)</f>
        <v>0</v>
      </c>
      <c r="F312">
        <f t="shared" ref="F312" si="1121">IF($A313&gt;E$4,IF($A313&lt;=F$4,E$5+(F$5-E$5)*($A313-E$4)/(F$4-E$4),0),0)</f>
        <v>0</v>
      </c>
      <c r="G312">
        <f t="shared" ref="G312" si="1122">IF($A313&gt;F$4,IF($A313&lt;=G$4,F$5+(G$5-F$5)*($A313-F$4)/(G$4-F$4),0),0)</f>
        <v>0</v>
      </c>
      <c r="H312">
        <f t="shared" ref="H312" si="1123">IF($A313&gt;G$4,IF($A313&lt;=H$4,G$5+(H$5-G$5)*($A313-G$4)/(H$4-G$4),0),0)</f>
        <v>0</v>
      </c>
      <c r="I312">
        <f t="shared" ref="I312" si="1124">IF($A313&gt;H$4,IF($A313&lt;=I$4,H$5+(I$5-H$5)*($A313-H$4)/(I$4-H$4),0),0)</f>
        <v>12</v>
      </c>
      <c r="J312">
        <f t="shared" ref="J312" si="1125">IF($A313&gt;I$4,IF($A313&lt;=J$4,I$5+(J$5-I$5)*($A313-I$4)/(J$4-I$4),0),0)</f>
        <v>0</v>
      </c>
      <c r="K312">
        <f t="shared" ref="K312" si="1126">IF($A313&gt;J$4,IF($A313&lt;=K$4,J$5+(K$5-J$5)*($A313-J$4)/(K$4-J$4),0),0)</f>
        <v>0</v>
      </c>
      <c r="L312">
        <f>IF($A313&gt;K$4,IF($A313&lt;=L$4,K$5+(L$5-K$5)*($A313-K$4)/(L$4-K$4),L$5),0)</f>
        <v>0</v>
      </c>
      <c r="M312" s="32">
        <f t="shared" si="1087"/>
        <v>12</v>
      </c>
    </row>
    <row r="313" spans="1:13" ht="15.75" thickBot="1" x14ac:dyDescent="0.3">
      <c r="A313">
        <f>F304</f>
        <v>2.2515757814091986</v>
      </c>
      <c r="B313" t="s">
        <v>72</v>
      </c>
      <c r="C313">
        <f>IF($A313&lt;=C$4,C$6,0)</f>
        <v>0</v>
      </c>
      <c r="D313">
        <f>IF($A313&gt;C$4,IF($A313&lt;=D$4,C$6+(D$6-C$6)*($A313-C$4)/(D$4-C$4),0),0)</f>
        <v>0</v>
      </c>
      <c r="E313">
        <f t="shared" ref="E313" si="1127">IF($A313&gt;D$4,IF($A313&lt;=E$4,D$6+(E$6-D$6)*($A313-D$4)/(E$4-D$4),0),0)</f>
        <v>0</v>
      </c>
      <c r="F313">
        <f t="shared" ref="F313" si="1128">IF($A313&gt;E$4,IF($A313&lt;=F$4,E$6+(F$6-E$6)*($A313-E$4)/(F$4-E$4),0),0)</f>
        <v>0</v>
      </c>
      <c r="G313">
        <f t="shared" ref="G313" si="1129">IF($A313&gt;F$4,IF($A313&lt;=G$4,F$6+(G$6-F$6)*($A313-F$4)/(G$4-F$4),0),0)</f>
        <v>0</v>
      </c>
      <c r="H313">
        <f t="shared" ref="H313" si="1130">IF($A313&gt;G$4,IF($A313&lt;=H$4,G$6+(H$6-G$6)*($A313-G$4)/(H$4-G$4),0),0)</f>
        <v>0</v>
      </c>
      <c r="I313">
        <f t="shared" ref="I313" si="1131">IF($A313&gt;H$4,IF($A313&lt;=I$4,H$6+(I$6-H$6)*($A313-H$4)/(I$4-H$4),0),0)</f>
        <v>4.5623636721137979</v>
      </c>
      <c r="J313">
        <f t="shared" ref="J313" si="1132">IF($A313&gt;I$4,IF($A313&lt;=J$4,I$6+(J$6-I$6)*($A313-I$4)/(J$4-I$4),0),0)</f>
        <v>0</v>
      </c>
      <c r="K313">
        <f t="shared" ref="K313" si="1133">IF($A313&gt;J$4,IF($A313&lt;=K$4,J$6+(K$6-J$6)*($A313-J$4)/(K$4-J$4),0),0)</f>
        <v>0</v>
      </c>
      <c r="L313">
        <f>IF($A313&gt;K$4,IF($A313&lt;=L$4,K$6+(L$6-K$6)*($A313-K$4)/(L$4-K$4),L$6),0)</f>
        <v>0</v>
      </c>
      <c r="M313" s="34">
        <f t="shared" si="1087"/>
        <v>4.5623636721137979</v>
      </c>
    </row>
    <row r="314" spans="1:13" x14ac:dyDescent="0.25">
      <c r="A314" s="57" t="s">
        <v>84</v>
      </c>
      <c r="B314" t="s">
        <v>71</v>
      </c>
      <c r="C314">
        <f>IF($A315&lt;=C$4,C$5,0)</f>
        <v>0</v>
      </c>
      <c r="D314">
        <f>IF($A315&gt;C$4,IF($A315&lt;=D$4,C$5+(D$5-C$5)*($A315-C$4)/(D$4-C$4),0),0)</f>
        <v>0</v>
      </c>
      <c r="E314">
        <f>IF($A315&gt;D$4,IF($A315&lt;=E$4,D$5+(E$5-D$5)*($A315-D$4)/(E$4-D$4),0),0)</f>
        <v>0</v>
      </c>
      <c r="F314">
        <f t="shared" ref="F314" si="1134">IF($A315&gt;E$4,IF($A315&lt;=F$4,E$5+(F$5-E$5)*($A315-E$4)/(F$4-E$4),0),0)</f>
        <v>0</v>
      </c>
      <c r="G314">
        <f t="shared" ref="G314" si="1135">IF($A315&gt;F$4,IF($A315&lt;=G$4,F$5+(G$5-F$5)*($A315-F$4)/(G$4-F$4),0),0)</f>
        <v>0</v>
      </c>
      <c r="H314">
        <f t="shared" ref="H314" si="1136">IF($A315&gt;G$4,IF($A315&lt;=H$4,G$5+(H$5-G$5)*($A315-G$4)/(H$4-G$4),0),0)</f>
        <v>0</v>
      </c>
      <c r="I314">
        <f t="shared" ref="I314" si="1137">IF($A315&gt;H$4,IF($A315&lt;=I$4,H$5+(I$5-H$5)*($A315-H$4)/(I$4-H$4),0),0)</f>
        <v>0</v>
      </c>
      <c r="J314">
        <f t="shared" ref="J314" si="1138">IF($A315&gt;I$4,IF($A315&lt;=J$4,I$5+(J$5-I$5)*($A315-I$4)/(J$4-I$4),0),0)</f>
        <v>11.998534477791988</v>
      </c>
      <c r="K314">
        <f t="shared" ref="K314" si="1139">IF($A315&gt;J$4,IF($A315&lt;=K$4,J$5+(K$5-J$5)*($A315-J$4)/(K$4-J$4),0),0)</f>
        <v>0</v>
      </c>
      <c r="L314">
        <f>IF($A315&gt;K$4,IF($A315&lt;=L$4,K$5+(L$5-K$5)*($A315-K$4)/(L$4-K$4),L$5),0)</f>
        <v>0</v>
      </c>
      <c r="M314" s="32">
        <f t="shared" si="1087"/>
        <v>11.998534477791988</v>
      </c>
    </row>
    <row r="315" spans="1:13" ht="15.75" thickBot="1" x14ac:dyDescent="0.3">
      <c r="A315">
        <f>G304</f>
        <v>2.8245086698593096</v>
      </c>
      <c r="B315" t="s">
        <v>72</v>
      </c>
      <c r="C315">
        <f>IF($A315&lt;=C$4,C$6,0)</f>
        <v>0</v>
      </c>
      <c r="D315">
        <f>IF($A315&gt;C$4,IF($A315&lt;=D$4,C$6+(D$6-C$6)*($A315-C$4)/(D$4-C$4),0),0)</f>
        <v>0</v>
      </c>
      <c r="E315">
        <f t="shared" ref="E315" si="1140">IF($A315&gt;D$4,IF($A315&lt;=E$4,D$6+(E$6-D$6)*($A315-D$4)/(E$4-D$4),0),0)</f>
        <v>0</v>
      </c>
      <c r="F315">
        <f t="shared" ref="F315" si="1141">IF($A315&gt;E$4,IF($A315&lt;=F$4,E$6+(F$6-E$6)*($A315-E$4)/(F$4-E$4),0),0)</f>
        <v>0</v>
      </c>
      <c r="G315">
        <f t="shared" ref="G315" si="1142">IF($A315&gt;F$4,IF($A315&lt;=G$4,F$6+(G$6-F$6)*($A315-F$4)/(G$4-F$4),0),0)</f>
        <v>0</v>
      </c>
      <c r="H315">
        <f t="shared" ref="H315" si="1143">IF($A315&gt;G$4,IF($A315&lt;=H$4,G$6+(H$6-G$6)*($A315-G$4)/(H$4-G$4),0),0)</f>
        <v>0</v>
      </c>
      <c r="I315">
        <f t="shared" ref="I315" si="1144">IF($A315&gt;H$4,IF($A315&lt;=I$4,H$6+(I$6-H$6)*($A315-H$4)/(I$4-H$4),0),0)</f>
        <v>0</v>
      </c>
      <c r="J315">
        <f t="shared" ref="J315" si="1145">IF($A315&gt;I$4,IF($A315&lt;=J$4,I$6+(J$6-I$6)*($A315-I$4)/(J$4-I$4),0),0)</f>
        <v>5.4146552220801114</v>
      </c>
      <c r="K315">
        <f t="shared" ref="K315" si="1146">IF($A315&gt;J$4,IF($A315&lt;=K$4,J$6+(K$6-J$6)*($A315-J$4)/(K$4-J$4),0),0)</f>
        <v>0</v>
      </c>
      <c r="L315">
        <f>IF($A315&gt;K$4,IF($A315&lt;=L$4,K$6+(L$6-K$6)*($A315-K$4)/(L$4-K$4),L$6),0)</f>
        <v>0</v>
      </c>
      <c r="M315" s="34">
        <f t="shared" si="1087"/>
        <v>5.4146552220801114</v>
      </c>
    </row>
    <row r="316" spans="1:13" x14ac:dyDescent="0.25">
      <c r="A316" s="57" t="s">
        <v>85</v>
      </c>
      <c r="B316" t="s">
        <v>71</v>
      </c>
      <c r="C316">
        <f>IF($A317&lt;=C$4,C$5,0)</f>
        <v>0</v>
      </c>
      <c r="D316">
        <f>IF($A317&gt;C$4,IF($A317&lt;=D$4,C$5+(D$5-C$5)*($A317-C$4)/(D$4-C$4),0),0)</f>
        <v>0</v>
      </c>
      <c r="E316">
        <f>IF($A317&gt;D$4,IF($A317&lt;=E$4,D$5+(E$5-D$5)*($A317-D$4)/(E$4-D$4),0),0)</f>
        <v>0</v>
      </c>
      <c r="F316">
        <f t="shared" ref="F316" si="1147">IF($A317&gt;E$4,IF($A317&lt;=F$4,E$5+(F$5-E$5)*($A317-E$4)/(F$4-E$4),0),0)</f>
        <v>0</v>
      </c>
      <c r="G316">
        <f t="shared" ref="G316" si="1148">IF($A317&gt;F$4,IF($A317&lt;=G$4,F$5+(G$5-F$5)*($A317-F$4)/(G$4-F$4),0),0)</f>
        <v>0</v>
      </c>
      <c r="H316">
        <f t="shared" ref="H316" si="1149">IF($A317&gt;G$4,IF($A317&lt;=H$4,G$5+(H$5-G$5)*($A317-G$4)/(H$4-G$4),0),0)</f>
        <v>0</v>
      </c>
      <c r="I316">
        <f t="shared" ref="I316" si="1150">IF($A317&gt;H$4,IF($A317&lt;=I$4,H$5+(I$5-H$5)*($A317-H$4)/(I$4-H$4),0),0)</f>
        <v>0</v>
      </c>
      <c r="J316">
        <f t="shared" ref="J316" si="1151">IF($A317&gt;I$4,IF($A317&lt;=J$4,I$5+(J$5-I$5)*($A317-I$4)/(J$4-I$4),0),0)</f>
        <v>11.92924876352666</v>
      </c>
      <c r="K316">
        <f t="shared" ref="K316" si="1152">IF($A317&gt;J$4,IF($A317&lt;=K$4,J$5+(K$5-J$5)*($A317-J$4)/(K$4-J$4),0),0)</f>
        <v>0</v>
      </c>
      <c r="L316">
        <f>IF($A317&gt;K$4,IF($A317&lt;=L$4,K$5+(L$5-K$5)*($A317-K$4)/(L$4-K$4),L$5),0)</f>
        <v>0</v>
      </c>
      <c r="M316" s="32">
        <f t="shared" si="1087"/>
        <v>11.92924876352666</v>
      </c>
    </row>
    <row r="317" spans="1:13" ht="15.75" thickBot="1" x14ac:dyDescent="0.3">
      <c r="A317">
        <f>H304</f>
        <v>3.5104372410860623</v>
      </c>
      <c r="B317" t="s">
        <v>72</v>
      </c>
      <c r="C317">
        <f>IF($A317&lt;=C$4,C$6,0)</f>
        <v>0</v>
      </c>
      <c r="D317">
        <f>IF($A317&gt;C$4,IF($A317&lt;=D$4,C$6+(D$6-C$6)*($A317-C$4)/(D$4-C$4),0),0)</f>
        <v>0</v>
      </c>
      <c r="E317">
        <f t="shared" ref="E317" si="1153">IF($A317&gt;D$4,IF($A317&lt;=E$4,D$6+(E$6-D$6)*($A317-D$4)/(E$4-D$4),0),0)</f>
        <v>0</v>
      </c>
      <c r="F317">
        <f t="shared" ref="F317" si="1154">IF($A317&gt;E$4,IF($A317&lt;=F$4,E$6+(F$6-E$6)*($A317-E$4)/(F$4-E$4),0),0)</f>
        <v>0</v>
      </c>
      <c r="G317">
        <f t="shared" ref="G317" si="1155">IF($A317&gt;F$4,IF($A317&lt;=G$4,F$6+(G$6-F$6)*($A317-F$4)/(G$4-F$4),0),0)</f>
        <v>0</v>
      </c>
      <c r="H317">
        <f t="shared" ref="H317" si="1156">IF($A317&gt;G$4,IF($A317&lt;=H$4,G$6+(H$6-G$6)*($A317-G$4)/(H$4-G$4),0),0)</f>
        <v>0</v>
      </c>
      <c r="I317">
        <f t="shared" ref="I317" si="1157">IF($A317&gt;H$4,IF($A317&lt;=I$4,H$6+(I$6-H$6)*($A317-H$4)/(I$4-H$4),0),0)</f>
        <v>0</v>
      </c>
      <c r="J317">
        <f t="shared" ref="J317" si="1158">IF($A317&gt;I$4,IF($A317&lt;=J$4,I$6+(J$6-I$6)*($A317-I$4)/(J$4-I$4),0),0)</f>
        <v>6.1075123647333971</v>
      </c>
      <c r="K317">
        <f t="shared" ref="K317" si="1159">IF($A317&gt;J$4,IF($A317&lt;=K$4,J$6+(K$6-J$6)*($A317-J$4)/(K$4-J$4),0),0)</f>
        <v>0</v>
      </c>
      <c r="L317">
        <f>IF($A317&gt;K$4,IF($A317&lt;=L$4,K$6+(L$6-K$6)*($A317-K$4)/(L$4-K$4),L$6),0)</f>
        <v>0</v>
      </c>
      <c r="M317" s="34">
        <f t="shared" si="1087"/>
        <v>6.1075123647333971</v>
      </c>
    </row>
    <row r="318" spans="1:13" x14ac:dyDescent="0.25">
      <c r="A318" s="57" t="s">
        <v>86</v>
      </c>
      <c r="B318" t="s">
        <v>71</v>
      </c>
      <c r="C318">
        <f>IF($A319&lt;=C$4,C$5,0)</f>
        <v>0</v>
      </c>
      <c r="D318">
        <f>IF($A319&gt;C$4,IF($A319&lt;=D$4,C$5+(D$5-C$5)*($A319-C$4)/(D$4-C$4),0),0)</f>
        <v>0</v>
      </c>
      <c r="E318">
        <f>IF($A319&gt;D$4,IF($A319&lt;=E$4,D$5+(E$5-D$5)*($A319-D$4)/(E$4-D$4),0),0)</f>
        <v>0</v>
      </c>
      <c r="F318">
        <f t="shared" ref="F318" si="1160">IF($A319&gt;E$4,IF($A319&lt;=F$4,E$5+(F$5-E$5)*($A319-E$4)/(F$4-E$4),0),0)</f>
        <v>0</v>
      </c>
      <c r="G318">
        <f t="shared" ref="G318" si="1161">IF($A319&gt;F$4,IF($A319&lt;=G$4,F$5+(G$5-F$5)*($A319-F$4)/(G$4-F$4),0),0)</f>
        <v>0</v>
      </c>
      <c r="H318">
        <f t="shared" ref="H318" si="1162">IF($A319&gt;G$4,IF($A319&lt;=H$4,G$5+(H$5-G$5)*($A319-G$4)/(H$4-G$4),0),0)</f>
        <v>0</v>
      </c>
      <c r="I318">
        <f t="shared" ref="I318" si="1163">IF($A319&gt;H$4,IF($A319&lt;=I$4,H$5+(I$5-H$5)*($A319-H$4)/(I$4-H$4),0),0)</f>
        <v>0</v>
      </c>
      <c r="J318">
        <f t="shared" ref="J318" si="1164">IF($A319&gt;I$4,IF($A319&lt;=J$4,I$5+(J$5-I$5)*($A319-I$4)/(J$4-I$4),0),0)</f>
        <v>0</v>
      </c>
      <c r="K318">
        <f t="shared" ref="K318" si="1165">IF($A319&gt;J$4,IF($A319&lt;=K$4,J$5+(K$5-J$5)*($A319-J$4)/(K$4-J$4),0),0)</f>
        <v>11.850269159505094</v>
      </c>
      <c r="L318">
        <f>IF($A319&gt;K$4,IF($A319&lt;=L$4,K$5+(L$5-K$5)*($A319-K$4)/(L$4-K$4),L$5),0)</f>
        <v>0</v>
      </c>
      <c r="M318" s="32">
        <f t="shared" si="1087"/>
        <v>11.850269159505094</v>
      </c>
    </row>
    <row r="319" spans="1:13" ht="15.75" thickBot="1" x14ac:dyDescent="0.3">
      <c r="A319">
        <f>I304</f>
        <v>4.3520123294934532</v>
      </c>
      <c r="B319" t="s">
        <v>72</v>
      </c>
      <c r="C319">
        <f>IF($A319&lt;=C$4,C$6,0)</f>
        <v>0</v>
      </c>
      <c r="D319">
        <f>IF($A319&gt;C$4,IF($A319&lt;=D$4,C$6+(D$6-C$6)*($A319-C$4)/(D$4-C$4),0),0)</f>
        <v>0</v>
      </c>
      <c r="E319">
        <f t="shared" ref="E319" si="1166">IF($A319&gt;D$4,IF($A319&lt;=E$4,D$6+(E$6-D$6)*($A319-D$4)/(E$4-D$4),0),0)</f>
        <v>0</v>
      </c>
      <c r="F319">
        <f t="shared" ref="F319" si="1167">IF($A319&gt;E$4,IF($A319&lt;=F$4,E$6+(F$6-E$6)*($A319-E$4)/(F$4-E$4),0),0)</f>
        <v>0</v>
      </c>
      <c r="G319">
        <f t="shared" ref="G319" si="1168">IF($A319&gt;F$4,IF($A319&lt;=G$4,F$6+(G$6-F$6)*($A319-F$4)/(G$4-F$4),0),0)</f>
        <v>0</v>
      </c>
      <c r="H319">
        <f t="shared" ref="H319" si="1169">IF($A319&gt;G$4,IF($A319&lt;=H$4,G$6+(H$6-G$6)*($A319-G$4)/(H$4-G$4),0),0)</f>
        <v>0</v>
      </c>
      <c r="I319">
        <f t="shared" ref="I319" si="1170">IF($A319&gt;H$4,IF($A319&lt;=I$4,H$6+(I$6-H$6)*($A319-H$4)/(I$4-H$4),0),0)</f>
        <v>0</v>
      </c>
      <c r="J319">
        <f t="shared" ref="J319" si="1171">IF($A319&gt;I$4,IF($A319&lt;=J$4,I$6+(J$6-I$6)*($A319-I$4)/(J$4-I$4),0),0)</f>
        <v>0</v>
      </c>
      <c r="K319">
        <f t="shared" ref="K319" si="1172">IF($A319&gt;J$4,IF($A319&lt;=K$4,J$6+(K$6-J$6)*($A319-J$4)/(K$4-J$4),0),0)</f>
        <v>7.8173289541048128</v>
      </c>
      <c r="L319">
        <f>IF($A319&gt;K$4,IF($A319&lt;=L$4,K$6+(L$6-K$6)*($A319-K$4)/(L$4-K$4),L$6),0)</f>
        <v>0</v>
      </c>
      <c r="M319" s="34">
        <f t="shared" si="1087"/>
        <v>7.8173289541048128</v>
      </c>
    </row>
    <row r="320" spans="1:13" x14ac:dyDescent="0.25">
      <c r="A320" s="57" t="s">
        <v>87</v>
      </c>
      <c r="B320" t="s">
        <v>71</v>
      </c>
      <c r="C320">
        <f>IF($A321&lt;=C$4,C$5,0)</f>
        <v>0</v>
      </c>
      <c r="D320">
        <f>IF($A321&gt;C$4,IF($A321&lt;=D$4,C$5+(D$5-C$5)*($A321-C$4)/(D$4-C$4),0),0)</f>
        <v>0</v>
      </c>
      <c r="E320">
        <f>IF($A321&gt;D$4,IF($A321&lt;=E$4,D$5+(E$5-D$5)*($A321-D$4)/(E$4-D$4),0),0)</f>
        <v>0</v>
      </c>
      <c r="F320">
        <f t="shared" ref="F320" si="1173">IF($A321&gt;E$4,IF($A321&lt;=F$4,E$5+(F$5-E$5)*($A321-E$4)/(F$4-E$4),0),0)</f>
        <v>0</v>
      </c>
      <c r="G320">
        <f t="shared" ref="G320" si="1174">IF($A321&gt;F$4,IF($A321&lt;=G$4,F$5+(G$5-F$5)*($A321-F$4)/(G$4-F$4),0),0)</f>
        <v>0</v>
      </c>
      <c r="H320">
        <f t="shared" ref="H320" si="1175">IF($A321&gt;G$4,IF($A321&lt;=H$4,G$5+(H$5-G$5)*($A321-G$4)/(H$4-G$4),0),0)</f>
        <v>0</v>
      </c>
      <c r="I320">
        <f t="shared" ref="I320" si="1176">IF($A321&gt;H$4,IF($A321&lt;=I$4,H$5+(I$5-H$5)*($A321-H$4)/(I$4-H$4),0),0)</f>
        <v>0</v>
      </c>
      <c r="J320">
        <f t="shared" ref="J320" si="1177">IF($A321&gt;I$4,IF($A321&lt;=J$4,I$5+(J$5-I$5)*($A321-I$4)/(J$4-I$4),0),0)</f>
        <v>0</v>
      </c>
      <c r="K320">
        <f t="shared" ref="K320" si="1178">IF($A321&gt;J$4,IF($A321&lt;=K$4,J$5+(K$5-J$5)*($A321-J$4)/(K$4-J$4),0),0)</f>
        <v>0</v>
      </c>
      <c r="L320">
        <f>IF($A321&gt;K$4,IF($A321&lt;=L$4,K$5+(L$5-K$5)*($A321-K$4)/(L$4-K$4),L$5),0)</f>
        <v>11.78227816517202</v>
      </c>
      <c r="M320" s="32">
        <f t="shared" si="1087"/>
        <v>11.78227816517202</v>
      </c>
    </row>
    <row r="321" spans="1:13" ht="15.75" thickBot="1" x14ac:dyDescent="0.3">
      <c r="A321">
        <f>J304</f>
        <v>5.4079835586662375</v>
      </c>
      <c r="B321" t="s">
        <v>72</v>
      </c>
      <c r="C321">
        <f>IF($A321&lt;=C$4,C$6,0)</f>
        <v>0</v>
      </c>
      <c r="D321">
        <f>IF($A321&gt;C$4,IF($A321&lt;=D$4,C$6+(D$6-C$6)*($A321-C$4)/(D$4-C$4),0),0)</f>
        <v>0</v>
      </c>
      <c r="E321">
        <f t="shared" ref="E321" si="1179">IF($A321&gt;D$4,IF($A321&lt;=E$4,D$6+(E$6-D$6)*($A321-D$4)/(E$4-D$4),0),0)</f>
        <v>0</v>
      </c>
      <c r="F321">
        <f t="shared" ref="F321" si="1180">IF($A321&gt;E$4,IF($A321&lt;=F$4,E$6+(F$6-E$6)*($A321-E$4)/(F$4-E$4),0),0)</f>
        <v>0</v>
      </c>
      <c r="G321">
        <f t="shared" ref="G321" si="1181">IF($A321&gt;F$4,IF($A321&lt;=G$4,F$6+(G$6-F$6)*($A321-F$4)/(G$4-F$4),0),0)</f>
        <v>0</v>
      </c>
      <c r="H321">
        <f t="shared" ref="H321" si="1182">IF($A321&gt;G$4,IF($A321&lt;=H$4,G$6+(H$6-G$6)*($A321-G$4)/(H$4-G$4),0),0)</f>
        <v>0</v>
      </c>
      <c r="I321">
        <f t="shared" ref="I321" si="1183">IF($A321&gt;H$4,IF($A321&lt;=I$4,H$6+(I$6-H$6)*($A321-H$4)/(I$4-H$4),0),0)</f>
        <v>0</v>
      </c>
      <c r="J321">
        <f t="shared" ref="J321" si="1184">IF($A321&gt;I$4,IF($A321&lt;=J$4,I$6+(J$6-I$6)*($A321-I$4)/(J$4-I$4),0),0)</f>
        <v>0</v>
      </c>
      <c r="K321">
        <f t="shared" ref="K321" si="1185">IF($A321&gt;J$4,IF($A321&lt;=K$4,J$6+(K$6-J$6)*($A321-J$4)/(K$4-J$4),0),0)</f>
        <v>0</v>
      </c>
      <c r="L321">
        <f>IF($A321&gt;K$4,IF($A321&lt;=L$4,K$6+(L$6-K$6)*($A321-K$4)/(L$4-K$4),L$6),0)</f>
        <v>10.020899815017129</v>
      </c>
      <c r="M321" s="34">
        <f t="shared" si="1087"/>
        <v>10.020899815017129</v>
      </c>
    </row>
    <row r="322" spans="1:13" x14ac:dyDescent="0.25">
      <c r="A322" s="57" t="s">
        <v>88</v>
      </c>
      <c r="B322" t="s">
        <v>71</v>
      </c>
      <c r="C322">
        <f>IF($A323&lt;=C$4,C$5,0)</f>
        <v>0</v>
      </c>
      <c r="D322">
        <f>IF($A323&gt;C$4,IF($A323&lt;=D$4,C$5+(D$5-C$5)*($A323-C$4)/(D$4-C$4),0),0)</f>
        <v>0</v>
      </c>
      <c r="E322">
        <f>IF($A323&gt;D$4,IF($A323&lt;=E$4,D$5+(E$5-D$5)*($A323-D$4)/(E$4-D$4),0),0)</f>
        <v>0</v>
      </c>
      <c r="F322">
        <f t="shared" ref="F322" si="1186">IF($A323&gt;E$4,IF($A323&lt;=F$4,E$5+(F$5-E$5)*($A323-E$4)/(F$4-E$4),0),0)</f>
        <v>0</v>
      </c>
      <c r="G322">
        <f t="shared" ref="G322" si="1187">IF($A323&gt;F$4,IF($A323&lt;=G$4,F$5+(G$5-F$5)*($A323-F$4)/(G$4-F$4),0),0)</f>
        <v>0</v>
      </c>
      <c r="H322">
        <f t="shared" ref="H322" si="1188">IF($A323&gt;G$4,IF($A323&lt;=H$4,G$5+(H$5-G$5)*($A323-G$4)/(H$4-G$4),0),0)</f>
        <v>0</v>
      </c>
      <c r="I322">
        <f t="shared" ref="I322" si="1189">IF($A323&gt;H$4,IF($A323&lt;=I$4,H$5+(I$5-H$5)*($A323-H$4)/(I$4-H$4),0),0)</f>
        <v>0</v>
      </c>
      <c r="J322">
        <f t="shared" ref="J322" si="1190">IF($A323&gt;I$4,IF($A323&lt;=J$4,I$5+(J$5-I$5)*($A323-I$4)/(J$4-I$4),0),0)</f>
        <v>0</v>
      </c>
      <c r="K322">
        <f t="shared" ref="K322" si="1191">IF($A323&gt;J$4,IF($A323&lt;=K$4,J$5+(K$5-J$5)*($A323-J$4)/(K$4-J$4),0),0)</f>
        <v>0</v>
      </c>
      <c r="L322">
        <f>IF($A323&gt;K$4,IF($A323&lt;=L$4,K$5+(L$5-K$5)*($A323-K$4)/(L$4-K$4),L$5),0)</f>
        <v>11.734189469152462</v>
      </c>
      <c r="M322" s="32">
        <f t="shared" si="1087"/>
        <v>11.734189469152462</v>
      </c>
    </row>
    <row r="323" spans="1:13" ht="15.75" thickBot="1" x14ac:dyDescent="0.3">
      <c r="A323">
        <f>K304</f>
        <v>6.7592759168158274</v>
      </c>
      <c r="B323" t="s">
        <v>72</v>
      </c>
      <c r="C323">
        <f>IF($A323&lt;=C$4,C$6,0)</f>
        <v>0</v>
      </c>
      <c r="D323">
        <f>IF($A323&gt;C$4,IF($A323&lt;=D$4,C$6+(D$6-C$6)*($A323-C$4)/(D$4-C$4),0),0)</f>
        <v>0</v>
      </c>
      <c r="E323">
        <f t="shared" ref="E323" si="1192">IF($A323&gt;D$4,IF($A323&lt;=E$4,D$6+(E$6-D$6)*($A323-D$4)/(E$4-D$4),0),0)</f>
        <v>0</v>
      </c>
      <c r="F323">
        <f t="shared" ref="F323" si="1193">IF($A323&gt;E$4,IF($A323&lt;=F$4,E$6+(F$6-E$6)*($A323-E$4)/(F$4-E$4),0),0)</f>
        <v>0</v>
      </c>
      <c r="G323">
        <f t="shared" ref="G323" si="1194">IF($A323&gt;F$4,IF($A323&lt;=G$4,F$6+(G$6-F$6)*($A323-F$4)/(G$4-F$4),0),0)</f>
        <v>0</v>
      </c>
      <c r="H323">
        <f t="shared" ref="H323" si="1195">IF($A323&gt;G$4,IF($A323&lt;=H$4,G$6+(H$6-G$6)*($A323-G$4)/(H$4-G$4),0),0)</f>
        <v>0</v>
      </c>
      <c r="I323">
        <f t="shared" ref="I323" si="1196">IF($A323&gt;H$4,IF($A323&lt;=I$4,H$6+(I$6-H$6)*($A323-H$4)/(I$4-H$4),0),0)</f>
        <v>0</v>
      </c>
      <c r="J323">
        <f t="shared" ref="J323" si="1197">IF($A323&gt;I$4,IF($A323&lt;=J$4,I$6+(J$6-I$6)*($A323-I$4)/(J$4-I$4),0),0)</f>
        <v>0</v>
      </c>
      <c r="K323">
        <f t="shared" ref="K323" si="1198">IF($A323&gt;J$4,IF($A323&lt;=K$4,J$6+(K$6-J$6)*($A323-J$4)/(K$4-J$4),0),0)</f>
        <v>0</v>
      </c>
      <c r="L323">
        <f>IF($A323&gt;K$4,IF($A323&lt;=L$4,K$6+(L$6-K$6)*($A323-K$4)/(L$4-K$4),L$6),0)</f>
        <v>12.112758091867917</v>
      </c>
      <c r="M323" s="34">
        <f t="shared" si="1087"/>
        <v>12.112758091867917</v>
      </c>
    </row>
    <row r="324" spans="1:13" x14ac:dyDescent="0.25">
      <c r="A324" s="57" t="s">
        <v>89</v>
      </c>
      <c r="B324" t="s">
        <v>71</v>
      </c>
      <c r="C324">
        <f>IF($A325&lt;=C$4,C$5,0)</f>
        <v>0</v>
      </c>
      <c r="D324">
        <f>IF($A325&gt;C$4,IF($A325&lt;=D$4,C$5+(D$5-C$5)*($A325-C$4)/(D$4-C$4),0),0)</f>
        <v>0</v>
      </c>
      <c r="E324">
        <f>IF($A325&gt;D$4,IF($A325&lt;=E$4,D$5+(E$5-D$5)*($A325-D$4)/(E$4-D$4),0),0)</f>
        <v>0</v>
      </c>
      <c r="F324">
        <f t="shared" ref="F324" si="1199">IF($A325&gt;E$4,IF($A325&lt;=F$4,E$5+(F$5-E$5)*($A325-E$4)/(F$4-E$4),0),0)</f>
        <v>0</v>
      </c>
      <c r="G324">
        <f t="shared" ref="G324" si="1200">IF($A325&gt;F$4,IF($A325&lt;=G$4,F$5+(G$5-F$5)*($A325-F$4)/(G$4-F$4),0),0)</f>
        <v>0</v>
      </c>
      <c r="H324">
        <f t="shared" ref="H324" si="1201">IF($A325&gt;G$4,IF($A325&lt;=H$4,G$5+(H$5-G$5)*($A325-G$4)/(H$4-G$4),0),0)</f>
        <v>0</v>
      </c>
      <c r="I324">
        <f t="shared" ref="I324" si="1202">IF($A325&gt;H$4,IF($A325&lt;=I$4,H$5+(I$5-H$5)*($A325-H$4)/(I$4-H$4),0),0)</f>
        <v>0</v>
      </c>
      <c r="J324">
        <f t="shared" ref="J324" si="1203">IF($A325&gt;I$4,IF($A325&lt;=J$4,I$5+(J$5-I$5)*($A325-I$4)/(J$4-I$4),0),0)</f>
        <v>0</v>
      </c>
      <c r="K324">
        <f t="shared" ref="K324" si="1204">IF($A325&gt;J$4,IF($A325&lt;=K$4,J$5+(K$5-J$5)*($A325-J$4)/(K$4-J$4),0),0)</f>
        <v>0</v>
      </c>
      <c r="L324">
        <f>IF($A325&gt;K$4,IF($A325&lt;=L$4,K$5+(L$5-K$5)*($A325-K$4)/(L$4-K$4),L$5),0)</f>
        <v>11.7</v>
      </c>
      <c r="M324" s="32">
        <f t="shared" si="1087"/>
        <v>11.7</v>
      </c>
    </row>
    <row r="325" spans="1:13" ht="15.75" thickBot="1" x14ac:dyDescent="0.3">
      <c r="A325">
        <f>L304</f>
        <v>8.5173599686441435</v>
      </c>
      <c r="B325" t="s">
        <v>72</v>
      </c>
      <c r="C325">
        <f>IF($A325&lt;=C$4,C$6,0)</f>
        <v>0</v>
      </c>
      <c r="D325">
        <f>IF($A325&gt;C$4,IF($A325&lt;=D$4,C$6+(D$6-C$6)*($A325-C$4)/(D$4-C$4),0),0)</f>
        <v>0</v>
      </c>
      <c r="E325">
        <f t="shared" ref="E325" si="1205">IF($A325&gt;D$4,IF($A325&lt;=E$4,D$6+(E$6-D$6)*($A325-D$4)/(E$4-D$4),0),0)</f>
        <v>0</v>
      </c>
      <c r="F325">
        <f t="shared" ref="F325" si="1206">IF($A325&gt;E$4,IF($A325&lt;=F$4,E$6+(F$6-E$6)*($A325-E$4)/(F$4-E$4),0),0)</f>
        <v>0</v>
      </c>
      <c r="G325">
        <f t="shared" ref="G325" si="1207">IF($A325&gt;F$4,IF($A325&lt;=G$4,F$6+(G$6-F$6)*($A325-F$4)/(G$4-F$4),0),0)</f>
        <v>0</v>
      </c>
      <c r="H325">
        <f t="shared" ref="H325" si="1208">IF($A325&gt;G$4,IF($A325&lt;=H$4,G$6+(H$6-G$6)*($A325-G$4)/(H$4-G$4),0),0)</f>
        <v>0</v>
      </c>
      <c r="I325">
        <f t="shared" ref="I325" si="1209">IF($A325&gt;H$4,IF($A325&lt;=I$4,H$6+(I$6-H$6)*($A325-H$4)/(I$4-H$4),0),0)</f>
        <v>0</v>
      </c>
      <c r="J325">
        <f t="shared" ref="J325" si="1210">IF($A325&gt;I$4,IF($A325&lt;=J$4,I$6+(J$6-I$6)*($A325-I$4)/(J$4-I$4),0),0)</f>
        <v>0</v>
      </c>
      <c r="K325">
        <f t="shared" ref="K325" si="1211">IF($A325&gt;J$4,IF($A325&lt;=K$4,J$6+(K$6-J$6)*($A325-J$4)/(K$4-J$4),0),0)</f>
        <v>0</v>
      </c>
      <c r="L325">
        <f>IF($A325&gt;K$4,IF($A325&lt;=L$4,K$6+(L$6-K$6)*($A325-K$4)/(L$4-K$4),L$6),0)</f>
        <v>13.6</v>
      </c>
      <c r="M325" s="34">
        <f t="shared" si="1087"/>
        <v>13.6</v>
      </c>
    </row>
    <row r="327" spans="1:13" x14ac:dyDescent="0.25">
      <c r="B327" t="s">
        <v>90</v>
      </c>
    </row>
    <row r="328" spans="1:13" ht="15.75" thickBot="1" x14ac:dyDescent="0.3">
      <c r="C328" s="25">
        <v>1</v>
      </c>
      <c r="D328" s="25">
        <v>2</v>
      </c>
      <c r="E328" s="25">
        <v>3</v>
      </c>
      <c r="F328" s="25">
        <v>4</v>
      </c>
      <c r="G328" s="25">
        <v>5</v>
      </c>
      <c r="H328" s="25">
        <v>6</v>
      </c>
      <c r="I328" s="25">
        <v>7</v>
      </c>
      <c r="J328" s="25">
        <v>8</v>
      </c>
      <c r="K328" s="25">
        <v>9</v>
      </c>
      <c r="L328" s="25">
        <v>10</v>
      </c>
    </row>
    <row r="329" spans="1:13" x14ac:dyDescent="0.25">
      <c r="B329" t="s">
        <v>71</v>
      </c>
      <c r="C329" s="58">
        <f>M306</f>
        <v>12.370327123943902</v>
      </c>
      <c r="D329" s="59">
        <f>M308</f>
        <v>12.221668641311798</v>
      </c>
      <c r="E329" s="59">
        <f>M310</f>
        <v>12.097679330272024</v>
      </c>
      <c r="F329" s="59">
        <f>M312</f>
        <v>12</v>
      </c>
      <c r="G329" s="59">
        <f>M314</f>
        <v>11.998534477791988</v>
      </c>
      <c r="H329" s="59">
        <f>M316</f>
        <v>11.92924876352666</v>
      </c>
      <c r="I329" s="59">
        <f>M318</f>
        <v>11.850269159505094</v>
      </c>
      <c r="J329" s="59">
        <f>M320</f>
        <v>11.78227816517202</v>
      </c>
      <c r="K329" s="59">
        <f>M322</f>
        <v>11.734189469152462</v>
      </c>
      <c r="L329" s="60">
        <f>M324</f>
        <v>11.7</v>
      </c>
    </row>
    <row r="330" spans="1:13" ht="15.75" thickBot="1" x14ac:dyDescent="0.3">
      <c r="B330" t="s">
        <v>72</v>
      </c>
      <c r="C330" s="52">
        <f>M307</f>
        <v>3.5593457521121969</v>
      </c>
      <c r="D330" s="53">
        <f t="shared" ref="D330" si="1212">M309</f>
        <v>3.8566627173764036</v>
      </c>
      <c r="E330" s="53">
        <f>M311</f>
        <v>4.1092826789119039</v>
      </c>
      <c r="F330" s="53">
        <f>M313</f>
        <v>4.5623636721137979</v>
      </c>
      <c r="G330" s="53">
        <f>M315</f>
        <v>5.4146552220801114</v>
      </c>
      <c r="H330" s="53">
        <f>M317</f>
        <v>6.1075123647333971</v>
      </c>
      <c r="I330" s="53">
        <f>M319</f>
        <v>7.8173289541048128</v>
      </c>
      <c r="J330" s="53">
        <f>M321</f>
        <v>10.020899815017129</v>
      </c>
      <c r="K330" s="53">
        <f>M323</f>
        <v>12.112758091867917</v>
      </c>
      <c r="L330" s="54">
        <f>M325</f>
        <v>13.6</v>
      </c>
    </row>
    <row r="331" spans="1:13" x14ac:dyDescent="0.25">
      <c r="B331" t="s">
        <v>161</v>
      </c>
      <c r="C331">
        <f>100-C329-C330</f>
        <v>84.070327123943912</v>
      </c>
      <c r="D331">
        <f t="shared" ref="D331:L331" si="1213">100-D329-D330</f>
        <v>83.921668641311797</v>
      </c>
      <c r="E331">
        <f t="shared" si="1213"/>
        <v>83.79303799081606</v>
      </c>
      <c r="F331">
        <f t="shared" si="1213"/>
        <v>83.437636327886196</v>
      </c>
      <c r="G331">
        <f t="shared" si="1213"/>
        <v>82.586810300127894</v>
      </c>
      <c r="H331">
        <f t="shared" si="1213"/>
        <v>81.963238871739946</v>
      </c>
      <c r="I331">
        <f t="shared" si="1213"/>
        <v>80.332401886390102</v>
      </c>
      <c r="J331">
        <f t="shared" si="1213"/>
        <v>78.196822019810853</v>
      </c>
      <c r="K331">
        <f t="shared" si="1213"/>
        <v>76.153052438979628</v>
      </c>
      <c r="L331">
        <f t="shared" si="1213"/>
        <v>74.7</v>
      </c>
    </row>
    <row r="335" spans="1:13" ht="18.75" x14ac:dyDescent="0.3">
      <c r="B335" s="56">
        <v>2026</v>
      </c>
    </row>
    <row r="336" spans="1:13" x14ac:dyDescent="0.25">
      <c r="C336" s="25">
        <v>1</v>
      </c>
      <c r="D336" s="25">
        <v>2</v>
      </c>
      <c r="E336" s="25">
        <v>3</v>
      </c>
      <c r="F336" s="25">
        <v>4</v>
      </c>
      <c r="G336" s="25">
        <v>5</v>
      </c>
      <c r="H336" s="25">
        <v>6</v>
      </c>
      <c r="I336" s="25">
        <v>7</v>
      </c>
      <c r="J336" s="25">
        <v>8</v>
      </c>
      <c r="K336" s="25">
        <v>9</v>
      </c>
      <c r="L336" s="25">
        <v>10</v>
      </c>
    </row>
    <row r="337" spans="1:13" x14ac:dyDescent="0.25">
      <c r="B337" t="s">
        <v>79</v>
      </c>
      <c r="C337" s="8">
        <f>INDEX(decdoh2026,'матрица расходов'!C336)/расслоение!$M$358</f>
        <v>0.97164591221075436</v>
      </c>
      <c r="D337" s="8">
        <f>INDEX(decdoh2026,'матрица расходов'!D336)/расслоение!$M$358</f>
        <v>1.3710938115409494</v>
      </c>
      <c r="E337" s="8">
        <f>INDEX(decdoh2026,'матрица расходов'!E336)/расслоение!$M$358</f>
        <v>1.8144139297711201</v>
      </c>
      <c r="F337" s="8">
        <f>INDEX(decdoh2026,'матрица расходов'!F336)/расслоение!$M$358</f>
        <v>2.3181660742961872</v>
      </c>
      <c r="G337" s="8">
        <f>INDEX(decdoh2026,'матрица расходов'!G336)/расслоение!$M$358</f>
        <v>2.9051606417867584</v>
      </c>
      <c r="H337" s="8">
        <f>INDEX(decdoh2026,'матрица расходов'!H336)/расслоение!$M$358</f>
        <v>3.6068179370725968</v>
      </c>
      <c r="I337" s="8">
        <f>INDEX(decdoh2026,'матрица расходов'!I336)/расслоение!$M$358</f>
        <v>4.4664180297575413</v>
      </c>
      <c r="J337" s="8">
        <f>INDEX(decdoh2026,'матрица расходов'!J336)/расслоение!$M$358</f>
        <v>5.5435772868711961</v>
      </c>
      <c r="K337" s="8">
        <f>INDEX(decdoh2026,'матрица расходов'!K336)/расслоение!$M$358</f>
        <v>6.920414597092365</v>
      </c>
      <c r="L337" s="8">
        <f>INDEX(decdoh2026,'матрица расходов'!L336)/расслоение!$M$358</f>
        <v>8.7100450698085972</v>
      </c>
    </row>
    <row r="338" spans="1:13" ht="15.75" thickBot="1" x14ac:dyDescent="0.3"/>
    <row r="339" spans="1:13" x14ac:dyDescent="0.25">
      <c r="A339" s="57" t="s">
        <v>80</v>
      </c>
      <c r="B339" t="s">
        <v>71</v>
      </c>
      <c r="C339">
        <f>IF($A340&lt;=C$4,C$5,0)</f>
        <v>0</v>
      </c>
      <c r="D339">
        <f>IF($A340&gt;C$4,IF($A340&lt;=D$4,C$5+(D$5-C$5)*($A340-C$4)/(D$4-C$4),0),0)</f>
        <v>0</v>
      </c>
      <c r="E339">
        <f>IF($A340&gt;D$4,IF($A340&lt;=E$4,D$5+(E$5-D$5)*($A340-D$4)/(E$4-D$4),0),0)</f>
        <v>12.357647536578853</v>
      </c>
      <c r="F339">
        <f t="shared" ref="F339" si="1214">IF($A340&gt;E$4,IF($A340&lt;=F$4,E$5+(F$5-E$5)*($A340-E$4)/(F$4-E$4),0),0)</f>
        <v>0</v>
      </c>
      <c r="G339">
        <f t="shared" ref="G339" si="1215">IF($A340&gt;F$4,IF($A340&lt;=G$4,F$5+(G$5-F$5)*($A340-F$4)/(G$4-F$4),0),0)</f>
        <v>0</v>
      </c>
      <c r="H339">
        <f t="shared" ref="H339" si="1216">IF($A340&gt;G$4,IF($A340&lt;=H$4,G$5+(H$5-G$5)*($A340-G$4)/(H$4-G$4),0),0)</f>
        <v>0</v>
      </c>
      <c r="I339">
        <f t="shared" ref="I339" si="1217">IF($A340&gt;H$4,IF($A340&lt;=I$4,H$5+(I$5-H$5)*($A340-H$4)/(I$4-H$4),0),0)</f>
        <v>0</v>
      </c>
      <c r="J339">
        <f t="shared" ref="J339" si="1218">IF($A340&gt;I$4,IF($A340&lt;=J$4,I$5+(J$5-I$5)*($A340-I$4)/(J$4-I$4),0),0)</f>
        <v>0</v>
      </c>
      <c r="K339">
        <f t="shared" ref="K339" si="1219">IF($A340&gt;J$4,IF($A340&lt;=K$4,J$5+(K$5-J$5)*($A340-J$4)/(K$4-J$4),0),0)</f>
        <v>0</v>
      </c>
      <c r="L339">
        <f>IF($A340&gt;K$4,IF($A340&lt;=L$4,K$5+(L$5-K$5)*($A340-K$4)/(L$4-K$4),L$5),0)</f>
        <v>0</v>
      </c>
      <c r="M339" s="32">
        <f t="shared" ref="M339:M358" si="1220">SUM(C339:L339)</f>
        <v>12.357647536578853</v>
      </c>
    </row>
    <row r="340" spans="1:13" ht="15.75" thickBot="1" x14ac:dyDescent="0.3">
      <c r="A340">
        <f>C337</f>
        <v>0.97164591221075436</v>
      </c>
      <c r="B340" t="s">
        <v>72</v>
      </c>
      <c r="C340">
        <f>IF($A340&lt;=C$4,C$6,0)</f>
        <v>0</v>
      </c>
      <c r="D340">
        <f>IF($A340&gt;C$4,IF($A340&lt;=D$4,C$6+(D$6-C$6)*($A340-C$4)/(D$4-C$4),0),0)</f>
        <v>0</v>
      </c>
      <c r="E340">
        <f t="shared" ref="E340" si="1221">IF($A340&gt;D$4,IF($A340&lt;=E$4,D$6+(E$6-D$6)*($A340-D$4)/(E$4-D$4),0),0)</f>
        <v>3.5847049268422952</v>
      </c>
      <c r="F340">
        <f t="shared" ref="F340" si="1222">IF($A340&gt;E$4,IF($A340&lt;=F$4,E$6+(F$6-E$6)*($A340-E$4)/(F$4-E$4),0),0)</f>
        <v>0</v>
      </c>
      <c r="G340">
        <f t="shared" ref="G340" si="1223">IF($A340&gt;F$4,IF($A340&lt;=G$4,F$6+(G$6-F$6)*($A340-F$4)/(G$4-F$4),0),0)</f>
        <v>0</v>
      </c>
      <c r="H340">
        <f t="shared" ref="H340" si="1224">IF($A340&gt;G$4,IF($A340&lt;=H$4,G$6+(H$6-G$6)*($A340-G$4)/(H$4-G$4),0),0)</f>
        <v>0</v>
      </c>
      <c r="I340">
        <f t="shared" ref="I340" si="1225">IF($A340&gt;H$4,IF($A340&lt;=I$4,H$6+(I$6-H$6)*($A340-H$4)/(I$4-H$4),0),0)</f>
        <v>0</v>
      </c>
      <c r="J340">
        <f t="shared" ref="J340" si="1226">IF($A340&gt;I$4,IF($A340&lt;=J$4,I$6+(J$6-I$6)*($A340-I$4)/(J$4-I$4),0),0)</f>
        <v>0</v>
      </c>
      <c r="K340">
        <f t="shared" ref="K340" si="1227">IF($A340&gt;J$4,IF($A340&lt;=K$4,J$6+(K$6-J$6)*($A340-J$4)/(K$4-J$4),0),0)</f>
        <v>0</v>
      </c>
      <c r="L340">
        <f>IF($A340&gt;K$4,IF($A340&lt;=L$4,K$6+(L$6-K$6)*($A340-K$4)/(L$4-K$4),L$6),0)</f>
        <v>0</v>
      </c>
      <c r="M340" s="34">
        <f t="shared" si="1220"/>
        <v>3.5847049268422952</v>
      </c>
    </row>
    <row r="341" spans="1:13" x14ac:dyDescent="0.25">
      <c r="A341" s="57" t="s">
        <v>81</v>
      </c>
      <c r="B341" t="s">
        <v>71</v>
      </c>
      <c r="C341">
        <f>IF($A342&lt;=C$4,C$5,0)</f>
        <v>0</v>
      </c>
      <c r="D341">
        <f>IF($A342&gt;C$4,IF($A342&lt;=D$4,C$5+(D$5-C$5)*($A342-C$4)/(D$4-C$4),0),0)</f>
        <v>0</v>
      </c>
      <c r="E341">
        <f>IF($A342&gt;D$4,IF($A342&lt;=E$4,D$5+(E$5-D$5)*($A342-D$4)/(E$4-D$4),0),0)</f>
        <v>0</v>
      </c>
      <c r="F341">
        <f t="shared" ref="F341" si="1228">IF($A342&gt;E$4,IF($A342&lt;=F$4,E$5+(F$5-E$5)*($A342-E$4)/(F$4-E$4),0),0)</f>
        <v>12.206752210163947</v>
      </c>
      <c r="G341">
        <f t="shared" ref="G341" si="1229">IF($A342&gt;F$4,IF($A342&lt;=G$4,F$5+(G$5-F$5)*($A342-F$4)/(G$4-F$4),0),0)</f>
        <v>0</v>
      </c>
      <c r="H341">
        <f t="shared" ref="H341" si="1230">IF($A342&gt;G$4,IF($A342&lt;=H$4,G$5+(H$5-G$5)*($A342-G$4)/(H$4-G$4),0),0)</f>
        <v>0</v>
      </c>
      <c r="I341">
        <f t="shared" ref="I341" si="1231">IF($A342&gt;H$4,IF($A342&lt;=I$4,H$5+(I$5-H$5)*($A342-H$4)/(I$4-H$4),0),0)</f>
        <v>0</v>
      </c>
      <c r="J341">
        <f t="shared" ref="J341" si="1232">IF($A342&gt;I$4,IF($A342&lt;=J$4,I$5+(J$5-I$5)*($A342-I$4)/(J$4-I$4),0),0)</f>
        <v>0</v>
      </c>
      <c r="K341">
        <f t="shared" ref="K341" si="1233">IF($A342&gt;J$4,IF($A342&lt;=K$4,J$5+(K$5-J$5)*($A342-J$4)/(K$4-J$4),0),0)</f>
        <v>0</v>
      </c>
      <c r="L341">
        <f>IF($A342&gt;K$4,IF($A342&lt;=L$4,K$5+(L$5-K$5)*($A342-K$4)/(L$4-K$4),L$5),0)</f>
        <v>0</v>
      </c>
      <c r="M341" s="32">
        <f t="shared" si="1220"/>
        <v>12.206752210163947</v>
      </c>
    </row>
    <row r="342" spans="1:13" ht="15.75" thickBot="1" x14ac:dyDescent="0.3">
      <c r="A342">
        <f>D337</f>
        <v>1.3710938115409494</v>
      </c>
      <c r="B342" t="s">
        <v>72</v>
      </c>
      <c r="C342">
        <f>IF($A342&lt;=C$4,C$6,0)</f>
        <v>0</v>
      </c>
      <c r="D342">
        <f>IF($A342&gt;C$4,IF($A342&lt;=D$4,C$6+(D$6-C$6)*($A342-C$4)/(D$4-C$4),0),0)</f>
        <v>0</v>
      </c>
      <c r="E342">
        <f t="shared" ref="E342" si="1234">IF($A342&gt;D$4,IF($A342&lt;=E$4,D$6+(E$6-D$6)*($A342-D$4)/(E$4-D$4),0),0)</f>
        <v>0</v>
      </c>
      <c r="F342">
        <f t="shared" ref="F342" si="1235">IF($A342&gt;E$4,IF($A342&lt;=F$4,E$6+(F$6-E$6)*($A342-E$4)/(F$4-E$4),0),0)</f>
        <v>3.8864955796721068</v>
      </c>
      <c r="G342">
        <f t="shared" ref="G342" si="1236">IF($A342&gt;F$4,IF($A342&lt;=G$4,F$6+(G$6-F$6)*($A342-F$4)/(G$4-F$4),0),0)</f>
        <v>0</v>
      </c>
      <c r="H342">
        <f t="shared" ref="H342" si="1237">IF($A342&gt;G$4,IF($A342&lt;=H$4,G$6+(H$6-G$6)*($A342-G$4)/(H$4-G$4),0),0)</f>
        <v>0</v>
      </c>
      <c r="I342">
        <f t="shared" ref="I342" si="1238">IF($A342&gt;H$4,IF($A342&lt;=I$4,H$6+(I$6-H$6)*($A342-H$4)/(I$4-H$4),0),0)</f>
        <v>0</v>
      </c>
      <c r="J342">
        <f t="shared" ref="J342" si="1239">IF($A342&gt;I$4,IF($A342&lt;=J$4,I$6+(J$6-I$6)*($A342-I$4)/(J$4-I$4),0),0)</f>
        <v>0</v>
      </c>
      <c r="K342">
        <f t="shared" ref="K342" si="1240">IF($A342&gt;J$4,IF($A342&lt;=K$4,J$6+(K$6-J$6)*($A342-J$4)/(K$4-J$4),0),0)</f>
        <v>0</v>
      </c>
      <c r="L342">
        <f>IF($A342&gt;K$4,IF($A342&lt;=L$4,K$6+(L$6-K$6)*($A342-K$4)/(L$4-K$4),L$6),0)</f>
        <v>0</v>
      </c>
      <c r="M342" s="34">
        <f t="shared" si="1220"/>
        <v>3.8864955796721068</v>
      </c>
    </row>
    <row r="343" spans="1:13" x14ac:dyDescent="0.25">
      <c r="A343" s="57" t="s">
        <v>82</v>
      </c>
      <c r="B343" t="s">
        <v>71</v>
      </c>
      <c r="C343">
        <f>IF($A344&lt;=C$4,C$5,0)</f>
        <v>0</v>
      </c>
      <c r="D343">
        <f>IF($A344&gt;C$4,IF($A344&lt;=D$4,C$5+(D$5-C$5)*($A344-C$4)/(D$4-C$4),0),0)</f>
        <v>0</v>
      </c>
      <c r="E343">
        <f>IF($A344&gt;D$4,IF($A344&lt;=E$4,D$5+(E$5-D$5)*($A344-D$4)/(E$4-D$4),0),0)</f>
        <v>0</v>
      </c>
      <c r="F343">
        <f t="shared" ref="F343" si="1241">IF($A344&gt;E$4,IF($A344&lt;=F$4,E$5+(F$5-E$5)*($A344-E$4)/(F$4-E$4),0),0)</f>
        <v>0</v>
      </c>
      <c r="G343">
        <f t="shared" ref="G343" si="1242">IF($A344&gt;F$4,IF($A344&lt;=G$4,F$5+(G$5-F$5)*($A344-F$4)/(G$4-F$4),0),0)</f>
        <v>0</v>
      </c>
      <c r="H343">
        <f t="shared" ref="H343" si="1243">IF($A344&gt;G$4,IF($A344&lt;=H$4,G$5+(H$5-G$5)*($A344-G$4)/(H$4-G$4),0),0)</f>
        <v>12.085996971788887</v>
      </c>
      <c r="I343">
        <f t="shared" ref="I343" si="1244">IF($A344&gt;H$4,IF($A344&lt;=I$4,H$5+(I$5-H$5)*($A344-H$4)/(I$4-H$4),0),0)</f>
        <v>0</v>
      </c>
      <c r="J343">
        <f t="shared" ref="J343" si="1245">IF($A344&gt;I$4,IF($A344&lt;=J$4,I$5+(J$5-I$5)*($A344-I$4)/(J$4-I$4),0),0)</f>
        <v>0</v>
      </c>
      <c r="K343">
        <f t="shared" ref="K343" si="1246">IF($A344&gt;J$4,IF($A344&lt;=K$4,J$5+(K$5-J$5)*($A344-J$4)/(K$4-J$4),0),0)</f>
        <v>0</v>
      </c>
      <c r="L343">
        <f>IF($A344&gt;K$4,IF($A344&lt;=L$4,K$5+(L$5-K$5)*($A344-K$4)/(L$4-K$4),L$5),0)</f>
        <v>0</v>
      </c>
      <c r="M343" s="32">
        <f t="shared" si="1220"/>
        <v>12.085996971788887</v>
      </c>
    </row>
    <row r="344" spans="1:13" ht="15.75" thickBot="1" x14ac:dyDescent="0.3">
      <c r="A344">
        <f>E337</f>
        <v>1.8144139297711201</v>
      </c>
      <c r="B344" t="s">
        <v>72</v>
      </c>
      <c r="C344">
        <f>IF($A344&lt;=C$4,C$6,0)</f>
        <v>0</v>
      </c>
      <c r="D344">
        <f>IF($A344&gt;C$4,IF($A344&lt;=D$4,C$6+(D$6-C$6)*($A344-C$4)/(D$4-C$4),0),0)</f>
        <v>0</v>
      </c>
      <c r="E344">
        <f t="shared" ref="E344" si="1247">IF($A344&gt;D$4,IF($A344&lt;=E$4,D$6+(E$6-D$6)*($A344-D$4)/(E$4-D$4),0),0)</f>
        <v>0</v>
      </c>
      <c r="F344">
        <f t="shared" ref="F344" si="1248">IF($A344&gt;E$4,IF($A344&lt;=F$4,E$6+(F$6-E$6)*($A344-E$4)/(F$4-E$4),0),0)</f>
        <v>0</v>
      </c>
      <c r="G344">
        <f t="shared" ref="G344" si="1249">IF($A344&gt;F$4,IF($A344&lt;=G$4,F$6+(G$6-F$6)*($A344-F$4)/(G$4-F$4),0),0)</f>
        <v>0</v>
      </c>
      <c r="H344">
        <f t="shared" ref="H344" si="1250">IF($A344&gt;G$4,IF($A344&lt;=H$4,G$6+(H$6-G$6)*($A344-G$4)/(H$4-G$4),0),0)</f>
        <v>4.1560121128444516</v>
      </c>
      <c r="I344">
        <f t="shared" ref="I344" si="1251">IF($A344&gt;H$4,IF($A344&lt;=I$4,H$6+(I$6-H$6)*($A344-H$4)/(I$4-H$4),0),0)</f>
        <v>0</v>
      </c>
      <c r="J344">
        <f t="shared" ref="J344" si="1252">IF($A344&gt;I$4,IF($A344&lt;=J$4,I$6+(J$6-I$6)*($A344-I$4)/(J$4-I$4),0),0)</f>
        <v>0</v>
      </c>
      <c r="K344">
        <f t="shared" ref="K344" si="1253">IF($A344&gt;J$4,IF($A344&lt;=K$4,J$6+(K$6-J$6)*($A344-J$4)/(K$4-J$4),0),0)</f>
        <v>0</v>
      </c>
      <c r="L344">
        <f>IF($A344&gt;K$4,IF($A344&lt;=L$4,K$6+(L$6-K$6)*($A344-K$4)/(L$4-K$4),L$6),0)</f>
        <v>0</v>
      </c>
      <c r="M344" s="34">
        <f t="shared" si="1220"/>
        <v>4.1560121128444516</v>
      </c>
    </row>
    <row r="345" spans="1:13" x14ac:dyDescent="0.25">
      <c r="A345" s="57" t="s">
        <v>83</v>
      </c>
      <c r="B345" t="s">
        <v>71</v>
      </c>
      <c r="C345">
        <f>IF($A346&lt;=C$4,C$5,0)</f>
        <v>0</v>
      </c>
      <c r="D345">
        <f>IF($A346&gt;C$4,IF($A346&lt;=D$4,C$5+(D$5-C$5)*($A346-C$4)/(D$4-C$4),0),0)</f>
        <v>0</v>
      </c>
      <c r="E345">
        <f>IF($A346&gt;D$4,IF($A346&lt;=E$4,D$5+(E$5-D$5)*($A346-D$4)/(E$4-D$4),0),0)</f>
        <v>0</v>
      </c>
      <c r="F345">
        <f t="shared" ref="F345" si="1254">IF($A346&gt;E$4,IF($A346&lt;=F$4,E$5+(F$5-E$5)*($A346-E$4)/(F$4-E$4),0),0)</f>
        <v>0</v>
      </c>
      <c r="G345">
        <f t="shared" ref="G345" si="1255">IF($A346&gt;F$4,IF($A346&lt;=G$4,F$5+(G$5-F$5)*($A346-F$4)/(G$4-F$4),0),0)</f>
        <v>0</v>
      </c>
      <c r="H345">
        <f t="shared" ref="H345" si="1256">IF($A346&gt;G$4,IF($A346&lt;=H$4,G$5+(H$5-G$5)*($A346-G$4)/(H$4-G$4),0),0)</f>
        <v>0</v>
      </c>
      <c r="I345">
        <f t="shared" ref="I345" si="1257">IF($A346&gt;H$4,IF($A346&lt;=I$4,H$5+(I$5-H$5)*($A346-H$4)/(I$4-H$4),0),0)</f>
        <v>12</v>
      </c>
      <c r="J345">
        <f t="shared" ref="J345" si="1258">IF($A346&gt;I$4,IF($A346&lt;=J$4,I$5+(J$5-I$5)*($A346-I$4)/(J$4-I$4),0),0)</f>
        <v>0</v>
      </c>
      <c r="K345">
        <f t="shared" ref="K345" si="1259">IF($A346&gt;J$4,IF($A346&lt;=K$4,J$5+(K$5-J$5)*($A346-J$4)/(K$4-J$4),0),0)</f>
        <v>0</v>
      </c>
      <c r="L345">
        <f>IF($A346&gt;K$4,IF($A346&lt;=L$4,K$5+(L$5-K$5)*($A346-K$4)/(L$4-K$4),L$5),0)</f>
        <v>0</v>
      </c>
      <c r="M345" s="32">
        <f t="shared" si="1220"/>
        <v>12</v>
      </c>
    </row>
    <row r="346" spans="1:13" ht="15.75" thickBot="1" x14ac:dyDescent="0.3">
      <c r="A346">
        <f>F337</f>
        <v>2.3181660742961872</v>
      </c>
      <c r="B346" t="s">
        <v>72</v>
      </c>
      <c r="C346">
        <f>IF($A346&lt;=C$4,C$6,0)</f>
        <v>0</v>
      </c>
      <c r="D346">
        <f>IF($A346&gt;C$4,IF($A346&lt;=D$4,C$6+(D$6-C$6)*($A346-C$4)/(D$4-C$4),0),0)</f>
        <v>0</v>
      </c>
      <c r="E346">
        <f t="shared" ref="E346" si="1260">IF($A346&gt;D$4,IF($A346&lt;=E$4,D$6+(E$6-D$6)*($A346-D$4)/(E$4-D$4),0),0)</f>
        <v>0</v>
      </c>
      <c r="F346">
        <f t="shared" ref="F346" si="1261">IF($A346&gt;E$4,IF($A346&lt;=F$4,E$6+(F$6-E$6)*($A346-E$4)/(F$4-E$4),0),0)</f>
        <v>0</v>
      </c>
      <c r="G346">
        <f t="shared" ref="G346" si="1262">IF($A346&gt;F$4,IF($A346&lt;=G$4,F$6+(G$6-F$6)*($A346-F$4)/(G$4-F$4),0),0)</f>
        <v>0</v>
      </c>
      <c r="H346">
        <f t="shared" ref="H346" si="1263">IF($A346&gt;G$4,IF($A346&lt;=H$4,G$6+(H$6-G$6)*($A346-G$4)/(H$4-G$4),0),0)</f>
        <v>0</v>
      </c>
      <c r="I346">
        <f t="shared" ref="I346" si="1264">IF($A346&gt;H$4,IF($A346&lt;=I$4,H$6+(I$6-H$6)*($A346-H$4)/(I$4-H$4),0),0)</f>
        <v>4.6622491114442806</v>
      </c>
      <c r="J346">
        <f t="shared" ref="J346" si="1265">IF($A346&gt;I$4,IF($A346&lt;=J$4,I$6+(J$6-I$6)*($A346-I$4)/(J$4-I$4),0),0)</f>
        <v>0</v>
      </c>
      <c r="K346">
        <f t="shared" ref="K346" si="1266">IF($A346&gt;J$4,IF($A346&lt;=K$4,J$6+(K$6-J$6)*($A346-J$4)/(K$4-J$4),0),0)</f>
        <v>0</v>
      </c>
      <c r="L346">
        <f>IF($A346&gt;K$4,IF($A346&lt;=L$4,K$6+(L$6-K$6)*($A346-K$4)/(L$4-K$4),L$6),0)</f>
        <v>0</v>
      </c>
      <c r="M346" s="34">
        <f t="shared" si="1220"/>
        <v>4.6622491114442806</v>
      </c>
    </row>
    <row r="347" spans="1:13" x14ac:dyDescent="0.25">
      <c r="A347" s="57" t="s">
        <v>84</v>
      </c>
      <c r="B347" t="s">
        <v>71</v>
      </c>
      <c r="C347">
        <f>IF($A348&lt;=C$4,C$5,0)</f>
        <v>0</v>
      </c>
      <c r="D347">
        <f>IF($A348&gt;C$4,IF($A348&lt;=D$4,C$5+(D$5-C$5)*($A348-C$4)/(D$4-C$4),0),0)</f>
        <v>0</v>
      </c>
      <c r="E347">
        <f>IF($A348&gt;D$4,IF($A348&lt;=E$4,D$5+(E$5-D$5)*($A348-D$4)/(E$4-D$4),0),0)</f>
        <v>0</v>
      </c>
      <c r="F347">
        <f t="shared" ref="F347" si="1267">IF($A348&gt;E$4,IF($A348&lt;=F$4,E$5+(F$5-E$5)*($A348-E$4)/(F$4-E$4),0),0)</f>
        <v>0</v>
      </c>
      <c r="G347">
        <f t="shared" ref="G347" si="1268">IF($A348&gt;F$4,IF($A348&lt;=G$4,F$5+(G$5-F$5)*($A348-F$4)/(G$4-F$4),0),0)</f>
        <v>0</v>
      </c>
      <c r="H347">
        <f t="shared" ref="H347" si="1269">IF($A348&gt;G$4,IF($A348&lt;=H$4,G$5+(H$5-G$5)*($A348-G$4)/(H$4-G$4),0),0)</f>
        <v>0</v>
      </c>
      <c r="I347">
        <f t="shared" ref="I347" si="1270">IF($A348&gt;H$4,IF($A348&lt;=I$4,H$5+(I$5-H$5)*($A348-H$4)/(I$4-H$4),0),0)</f>
        <v>0</v>
      </c>
      <c r="J347">
        <f t="shared" ref="J347" si="1271">IF($A348&gt;I$4,IF($A348&lt;=J$4,I$5+(J$5-I$5)*($A348-I$4)/(J$4-I$4),0),0)</f>
        <v>11.990387813960934</v>
      </c>
      <c r="K347">
        <f t="shared" ref="K347" si="1272">IF($A348&gt;J$4,IF($A348&lt;=K$4,J$5+(K$5-J$5)*($A348-J$4)/(K$4-J$4),0),0)</f>
        <v>0</v>
      </c>
      <c r="L347">
        <f>IF($A348&gt;K$4,IF($A348&lt;=L$4,K$5+(L$5-K$5)*($A348-K$4)/(L$4-K$4),L$5),0)</f>
        <v>0</v>
      </c>
      <c r="M347" s="32">
        <f t="shared" si="1220"/>
        <v>11.990387813960934</v>
      </c>
    </row>
    <row r="348" spans="1:13" ht="15.75" thickBot="1" x14ac:dyDescent="0.3">
      <c r="A348">
        <f>G337</f>
        <v>2.9051606417867584</v>
      </c>
      <c r="B348" t="s">
        <v>72</v>
      </c>
      <c r="C348">
        <f>IF($A348&lt;=C$4,C$6,0)</f>
        <v>0</v>
      </c>
      <c r="D348">
        <f>IF($A348&gt;C$4,IF($A348&lt;=D$4,C$6+(D$6-C$6)*($A348-C$4)/(D$4-C$4),0),0)</f>
        <v>0</v>
      </c>
      <c r="E348">
        <f t="shared" ref="E348" si="1273">IF($A348&gt;D$4,IF($A348&lt;=E$4,D$6+(E$6-D$6)*($A348-D$4)/(E$4-D$4),0),0)</f>
        <v>0</v>
      </c>
      <c r="F348">
        <f t="shared" ref="F348" si="1274">IF($A348&gt;E$4,IF($A348&lt;=F$4,E$6+(F$6-E$6)*($A348-E$4)/(F$4-E$4),0),0)</f>
        <v>0</v>
      </c>
      <c r="G348">
        <f t="shared" ref="G348" si="1275">IF($A348&gt;F$4,IF($A348&lt;=G$4,F$6+(G$6-F$6)*($A348-F$4)/(G$4-F$4),0),0)</f>
        <v>0</v>
      </c>
      <c r="H348">
        <f t="shared" ref="H348" si="1276">IF($A348&gt;G$4,IF($A348&lt;=H$4,G$6+(H$6-G$6)*($A348-G$4)/(H$4-G$4),0),0)</f>
        <v>0</v>
      </c>
      <c r="I348">
        <f t="shared" ref="I348" si="1277">IF($A348&gt;H$4,IF($A348&lt;=I$4,H$6+(I$6-H$6)*($A348-H$4)/(I$4-H$4),0),0)</f>
        <v>0</v>
      </c>
      <c r="J348">
        <f t="shared" ref="J348" si="1278">IF($A348&gt;I$4,IF($A348&lt;=J$4,I$6+(J$6-I$6)*($A348-I$4)/(J$4-I$4),0),0)</f>
        <v>5.496121860390665</v>
      </c>
      <c r="K348">
        <f t="shared" ref="K348" si="1279">IF($A348&gt;J$4,IF($A348&lt;=K$4,J$6+(K$6-J$6)*($A348-J$4)/(K$4-J$4),0),0)</f>
        <v>0</v>
      </c>
      <c r="L348">
        <f>IF($A348&gt;K$4,IF($A348&lt;=L$4,K$6+(L$6-K$6)*($A348-K$4)/(L$4-K$4),L$6),0)</f>
        <v>0</v>
      </c>
      <c r="M348" s="34">
        <f t="shared" si="1220"/>
        <v>5.496121860390665</v>
      </c>
    </row>
    <row r="349" spans="1:13" x14ac:dyDescent="0.25">
      <c r="A349" s="57" t="s">
        <v>85</v>
      </c>
      <c r="B349" t="s">
        <v>71</v>
      </c>
      <c r="C349">
        <f>IF($A350&lt;=C$4,C$5,0)</f>
        <v>0</v>
      </c>
      <c r="D349">
        <f>IF($A350&gt;C$4,IF($A350&lt;=D$4,C$5+(D$5-C$5)*($A350-C$4)/(D$4-C$4),0),0)</f>
        <v>0</v>
      </c>
      <c r="E349">
        <f>IF($A350&gt;D$4,IF($A350&lt;=E$4,D$5+(E$5-D$5)*($A350-D$4)/(E$4-D$4),0),0)</f>
        <v>0</v>
      </c>
      <c r="F349">
        <f t="shared" ref="F349" si="1280">IF($A350&gt;E$4,IF($A350&lt;=F$4,E$5+(F$5-E$5)*($A350-E$4)/(F$4-E$4),0),0)</f>
        <v>0</v>
      </c>
      <c r="G349">
        <f t="shared" ref="G349" si="1281">IF($A350&gt;F$4,IF($A350&lt;=G$4,F$5+(G$5-F$5)*($A350-F$4)/(G$4-F$4),0),0)</f>
        <v>0</v>
      </c>
      <c r="H349">
        <f t="shared" ref="H349" si="1282">IF($A350&gt;G$4,IF($A350&lt;=H$4,G$5+(H$5-G$5)*($A350-G$4)/(H$4-G$4),0),0)</f>
        <v>0</v>
      </c>
      <c r="I349">
        <f t="shared" ref="I349" si="1283">IF($A350&gt;H$4,IF($A350&lt;=I$4,H$5+(I$5-H$5)*($A350-H$4)/(I$4-H$4),0),0)</f>
        <v>0</v>
      </c>
      <c r="J349">
        <f t="shared" ref="J349" si="1284">IF($A350&gt;I$4,IF($A350&lt;=J$4,I$5+(J$5-I$5)*($A350-I$4)/(J$4-I$4),0),0)</f>
        <v>11.919513339689637</v>
      </c>
      <c r="K349">
        <f t="shared" ref="K349" si="1285">IF($A350&gt;J$4,IF($A350&lt;=K$4,J$5+(K$5-J$5)*($A350-J$4)/(K$4-J$4),0),0)</f>
        <v>0</v>
      </c>
      <c r="L349">
        <f>IF($A350&gt;K$4,IF($A350&lt;=L$4,K$5+(L$5-K$5)*($A350-K$4)/(L$4-K$4),L$5),0)</f>
        <v>0</v>
      </c>
      <c r="M349" s="32">
        <f t="shared" si="1220"/>
        <v>11.919513339689637</v>
      </c>
    </row>
    <row r="350" spans="1:13" ht="15.75" thickBot="1" x14ac:dyDescent="0.3">
      <c r="A350">
        <f>H337</f>
        <v>3.6068179370725968</v>
      </c>
      <c r="B350" t="s">
        <v>72</v>
      </c>
      <c r="C350">
        <f>IF($A350&lt;=C$4,C$6,0)</f>
        <v>0</v>
      </c>
      <c r="D350">
        <f>IF($A350&gt;C$4,IF($A350&lt;=D$4,C$6+(D$6-C$6)*($A350-C$4)/(D$4-C$4),0),0)</f>
        <v>0</v>
      </c>
      <c r="E350">
        <f t="shared" ref="E350" si="1286">IF($A350&gt;D$4,IF($A350&lt;=E$4,D$6+(E$6-D$6)*($A350-D$4)/(E$4-D$4),0),0)</f>
        <v>0</v>
      </c>
      <c r="F350">
        <f t="shared" ref="F350" si="1287">IF($A350&gt;E$4,IF($A350&lt;=F$4,E$6+(F$6-E$6)*($A350-E$4)/(F$4-E$4),0),0)</f>
        <v>0</v>
      </c>
      <c r="G350">
        <f t="shared" ref="G350" si="1288">IF($A350&gt;F$4,IF($A350&lt;=G$4,F$6+(G$6-F$6)*($A350-F$4)/(G$4-F$4),0),0)</f>
        <v>0</v>
      </c>
      <c r="H350">
        <f t="shared" ref="H350" si="1289">IF($A350&gt;G$4,IF($A350&lt;=H$4,G$6+(H$6-G$6)*($A350-G$4)/(H$4-G$4),0),0)</f>
        <v>0</v>
      </c>
      <c r="I350">
        <f t="shared" ref="I350" si="1290">IF($A350&gt;H$4,IF($A350&lt;=I$4,H$6+(I$6-H$6)*($A350-H$4)/(I$4-H$4),0),0)</f>
        <v>0</v>
      </c>
      <c r="J350">
        <f t="shared" ref="J350" si="1291">IF($A350&gt;I$4,IF($A350&lt;=J$4,I$6+(J$6-I$6)*($A350-I$4)/(J$4-I$4),0),0)</f>
        <v>6.2048666031036337</v>
      </c>
      <c r="K350">
        <f t="shared" ref="K350" si="1292">IF($A350&gt;J$4,IF($A350&lt;=K$4,J$6+(K$6-J$6)*($A350-J$4)/(K$4-J$4),0),0)</f>
        <v>0</v>
      </c>
      <c r="L350">
        <f>IF($A350&gt;K$4,IF($A350&lt;=L$4,K$6+(L$6-K$6)*($A350-K$4)/(L$4-K$4),L$6),0)</f>
        <v>0</v>
      </c>
      <c r="M350" s="34">
        <f t="shared" si="1220"/>
        <v>6.2048666031036337</v>
      </c>
    </row>
    <row r="351" spans="1:13" x14ac:dyDescent="0.25">
      <c r="A351" s="57" t="s">
        <v>86</v>
      </c>
      <c r="B351" t="s">
        <v>71</v>
      </c>
      <c r="C351">
        <f>IF($A352&lt;=C$4,C$5,0)</f>
        <v>0</v>
      </c>
      <c r="D351">
        <f>IF($A352&gt;C$4,IF($A352&lt;=D$4,C$5+(D$5-C$5)*($A352-C$4)/(D$4-C$4),0),0)</f>
        <v>0</v>
      </c>
      <c r="E351">
        <f>IF($A352&gt;D$4,IF($A352&lt;=E$4,D$5+(E$5-D$5)*($A352-D$4)/(E$4-D$4),0),0)</f>
        <v>0</v>
      </c>
      <c r="F351">
        <f t="shared" ref="F351" si="1293">IF($A352&gt;E$4,IF($A352&lt;=F$4,E$5+(F$5-E$5)*($A352-E$4)/(F$4-E$4),0),0)</f>
        <v>0</v>
      </c>
      <c r="G351">
        <f t="shared" ref="G351" si="1294">IF($A352&gt;F$4,IF($A352&lt;=G$4,F$5+(G$5-F$5)*($A352-F$4)/(G$4-F$4),0),0)</f>
        <v>0</v>
      </c>
      <c r="H351">
        <f t="shared" ref="H351" si="1295">IF($A352&gt;G$4,IF($A352&lt;=H$4,G$5+(H$5-G$5)*($A352-G$4)/(H$4-G$4),0),0)</f>
        <v>0</v>
      </c>
      <c r="I351">
        <f t="shared" ref="I351" si="1296">IF($A352&gt;H$4,IF($A352&lt;=I$4,H$5+(I$5-H$5)*($A352-H$4)/(I$4-H$4),0),0)</f>
        <v>0</v>
      </c>
      <c r="J351">
        <f t="shared" ref="J351" si="1297">IF($A352&gt;I$4,IF($A352&lt;=J$4,I$5+(J$5-I$5)*($A352-I$4)/(J$4-I$4),0),0)</f>
        <v>0</v>
      </c>
      <c r="K351">
        <f t="shared" ref="K351" si="1298">IF($A352&gt;J$4,IF($A352&lt;=K$4,J$5+(K$5-J$5)*($A352-J$4)/(K$4-J$4),0),0)</f>
        <v>11.839962339661483</v>
      </c>
      <c r="L351">
        <f>IF($A352&gt;K$4,IF($A352&lt;=L$4,K$5+(L$5-K$5)*($A352-K$4)/(L$4-K$4),L$5),0)</f>
        <v>0</v>
      </c>
      <c r="M351" s="32">
        <f t="shared" si="1220"/>
        <v>11.839962339661483</v>
      </c>
    </row>
    <row r="352" spans="1:13" ht="15.75" thickBot="1" x14ac:dyDescent="0.3">
      <c r="A352">
        <f>I337</f>
        <v>4.4664180297575413</v>
      </c>
      <c r="B352" t="s">
        <v>72</v>
      </c>
      <c r="C352">
        <f>IF($A352&lt;=C$4,C$6,0)</f>
        <v>0</v>
      </c>
      <c r="D352">
        <f>IF($A352&gt;C$4,IF($A352&lt;=D$4,C$6+(D$6-C$6)*($A352-C$4)/(D$4-C$4),0),0)</f>
        <v>0</v>
      </c>
      <c r="E352">
        <f t="shared" ref="E352" si="1299">IF($A352&gt;D$4,IF($A352&lt;=E$4,D$6+(E$6-D$6)*($A352-D$4)/(E$4-D$4),0),0)</f>
        <v>0</v>
      </c>
      <c r="F352">
        <f t="shared" ref="F352" si="1300">IF($A352&gt;E$4,IF($A352&lt;=F$4,E$6+(F$6-E$6)*($A352-E$4)/(F$4-E$4),0),0)</f>
        <v>0</v>
      </c>
      <c r="G352">
        <f t="shared" ref="G352" si="1301">IF($A352&gt;F$4,IF($A352&lt;=G$4,F$6+(G$6-F$6)*($A352-F$4)/(G$4-F$4),0),0)</f>
        <v>0</v>
      </c>
      <c r="H352">
        <f t="shared" ref="H352" si="1302">IF($A352&gt;G$4,IF($A352&lt;=H$4,G$6+(H$6-G$6)*($A352-G$4)/(H$4-G$4),0),0)</f>
        <v>0</v>
      </c>
      <c r="I352">
        <f t="shared" ref="I352" si="1303">IF($A352&gt;H$4,IF($A352&lt;=I$4,H$6+(I$6-H$6)*($A352-H$4)/(I$4-H$4),0),0)</f>
        <v>0</v>
      </c>
      <c r="J352">
        <f t="shared" ref="J352" si="1304">IF($A352&gt;I$4,IF($A352&lt;=J$4,I$6+(J$6-I$6)*($A352-I$4)/(J$4-I$4),0),0)</f>
        <v>0</v>
      </c>
      <c r="K352">
        <f t="shared" ref="K352" si="1305">IF($A352&gt;J$4,IF($A352&lt;=K$4,J$6+(K$6-J$6)*($A352-J$4)/(K$4-J$4),0),0)</f>
        <v>8.1110733196477405</v>
      </c>
      <c r="L352">
        <f>IF($A352&gt;K$4,IF($A352&lt;=L$4,K$6+(L$6-K$6)*($A352-K$4)/(L$4-K$4),L$6),0)</f>
        <v>0</v>
      </c>
      <c r="M352" s="34">
        <f t="shared" si="1220"/>
        <v>8.1110733196477405</v>
      </c>
    </row>
    <row r="353" spans="1:13" x14ac:dyDescent="0.25">
      <c r="A353" s="57" t="s">
        <v>87</v>
      </c>
      <c r="B353" t="s">
        <v>71</v>
      </c>
      <c r="C353">
        <f>IF($A354&lt;=C$4,C$5,0)</f>
        <v>0</v>
      </c>
      <c r="D353">
        <f>IF($A354&gt;C$4,IF($A354&lt;=D$4,C$5+(D$5-C$5)*($A354-C$4)/(D$4-C$4),0),0)</f>
        <v>0</v>
      </c>
      <c r="E353">
        <f>IF($A354&gt;D$4,IF($A354&lt;=E$4,D$5+(E$5-D$5)*($A354-D$4)/(E$4-D$4),0),0)</f>
        <v>0</v>
      </c>
      <c r="F353">
        <f t="shared" ref="F353" si="1306">IF($A354&gt;E$4,IF($A354&lt;=F$4,E$5+(F$5-E$5)*($A354-E$4)/(F$4-E$4),0),0)</f>
        <v>0</v>
      </c>
      <c r="G353">
        <f t="shared" ref="G353" si="1307">IF($A354&gt;F$4,IF($A354&lt;=G$4,F$5+(G$5-F$5)*($A354-F$4)/(G$4-F$4),0),0)</f>
        <v>0</v>
      </c>
      <c r="H353">
        <f t="shared" ref="H353" si="1308">IF($A354&gt;G$4,IF($A354&lt;=H$4,G$5+(H$5-G$5)*($A354-G$4)/(H$4-G$4),0),0)</f>
        <v>0</v>
      </c>
      <c r="I353">
        <f t="shared" ref="I353" si="1309">IF($A354&gt;H$4,IF($A354&lt;=I$4,H$5+(I$5-H$5)*($A354-H$4)/(I$4-H$4),0),0)</f>
        <v>0</v>
      </c>
      <c r="J353">
        <f t="shared" ref="J353" si="1310">IF($A354&gt;I$4,IF($A354&lt;=J$4,I$5+(J$5-I$5)*($A354-I$4)/(J$4-I$4),0),0)</f>
        <v>0</v>
      </c>
      <c r="K353">
        <f t="shared" ref="K353" si="1311">IF($A354&gt;J$4,IF($A354&lt;=K$4,J$5+(K$5-J$5)*($A354-J$4)/(K$4-J$4),0),0)</f>
        <v>0</v>
      </c>
      <c r="L353">
        <f>IF($A354&gt;K$4,IF($A354&lt;=L$4,K$5+(L$5-K$5)*($A354-K$4)/(L$4-K$4),L$5),0)</f>
        <v>11.777452765591773</v>
      </c>
      <c r="M353" s="32">
        <f t="shared" si="1220"/>
        <v>11.777452765591773</v>
      </c>
    </row>
    <row r="354" spans="1:13" ht="15.75" thickBot="1" x14ac:dyDescent="0.3">
      <c r="A354">
        <f>J337</f>
        <v>5.5435772868711961</v>
      </c>
      <c r="B354" t="s">
        <v>72</v>
      </c>
      <c r="C354">
        <f>IF($A354&lt;=C$4,C$6,0)</f>
        <v>0</v>
      </c>
      <c r="D354">
        <f>IF($A354&gt;C$4,IF($A354&lt;=D$4,C$6+(D$6-C$6)*($A354-C$4)/(D$4-C$4),0),0)</f>
        <v>0</v>
      </c>
      <c r="E354">
        <f t="shared" ref="E354" si="1312">IF($A354&gt;D$4,IF($A354&lt;=E$4,D$6+(E$6-D$6)*($A354-D$4)/(E$4-D$4),0),0)</f>
        <v>0</v>
      </c>
      <c r="F354">
        <f t="shared" ref="F354" si="1313">IF($A354&gt;E$4,IF($A354&lt;=F$4,E$6+(F$6-E$6)*($A354-E$4)/(F$4-E$4),0),0)</f>
        <v>0</v>
      </c>
      <c r="G354">
        <f t="shared" ref="G354" si="1314">IF($A354&gt;F$4,IF($A354&lt;=G$4,F$6+(G$6-F$6)*($A354-F$4)/(G$4-F$4),0),0)</f>
        <v>0</v>
      </c>
      <c r="H354">
        <f t="shared" ref="H354" si="1315">IF($A354&gt;G$4,IF($A354&lt;=H$4,G$6+(H$6-G$6)*($A354-G$4)/(H$4-G$4),0),0)</f>
        <v>0</v>
      </c>
      <c r="I354">
        <f t="shared" ref="I354" si="1316">IF($A354&gt;H$4,IF($A354&lt;=I$4,H$6+(I$6-H$6)*($A354-H$4)/(I$4-H$4),0),0)</f>
        <v>0</v>
      </c>
      <c r="J354">
        <f t="shared" ref="J354" si="1317">IF($A354&gt;I$4,IF($A354&lt;=J$4,I$6+(J$6-I$6)*($A354-I$4)/(J$4-I$4),0),0)</f>
        <v>0</v>
      </c>
      <c r="K354">
        <f t="shared" ref="K354" si="1318">IF($A354&gt;J$4,IF($A354&lt;=K$4,J$6+(K$6-J$6)*($A354-J$4)/(K$4-J$4),0),0)</f>
        <v>0</v>
      </c>
      <c r="L354">
        <f>IF($A354&gt;K$4,IF($A354&lt;=L$4,K$6+(L$6-K$6)*($A354-K$4)/(L$4-K$4),L$6),0)</f>
        <v>10.230804696757902</v>
      </c>
      <c r="M354" s="34">
        <f t="shared" si="1220"/>
        <v>10.230804696757902</v>
      </c>
    </row>
    <row r="355" spans="1:13" x14ac:dyDescent="0.25">
      <c r="A355" s="57" t="s">
        <v>88</v>
      </c>
      <c r="B355" t="s">
        <v>71</v>
      </c>
      <c r="C355">
        <f>IF($A356&lt;=C$4,C$5,0)</f>
        <v>0</v>
      </c>
      <c r="D355">
        <f>IF($A356&gt;C$4,IF($A356&lt;=D$4,C$5+(D$5-C$5)*($A356-C$4)/(D$4-C$4),0),0)</f>
        <v>0</v>
      </c>
      <c r="E355">
        <f>IF($A356&gt;D$4,IF($A356&lt;=E$4,D$5+(E$5-D$5)*($A356-D$4)/(E$4-D$4),0),0)</f>
        <v>0</v>
      </c>
      <c r="F355">
        <f t="shared" ref="F355" si="1319">IF($A356&gt;E$4,IF($A356&lt;=F$4,E$5+(F$5-E$5)*($A356-E$4)/(F$4-E$4),0),0)</f>
        <v>0</v>
      </c>
      <c r="G355">
        <f t="shared" ref="G355" si="1320">IF($A356&gt;F$4,IF($A356&lt;=G$4,F$5+(G$5-F$5)*($A356-F$4)/(G$4-F$4),0),0)</f>
        <v>0</v>
      </c>
      <c r="H355">
        <f t="shared" ref="H355" si="1321">IF($A356&gt;G$4,IF($A356&lt;=H$4,G$5+(H$5-G$5)*($A356-G$4)/(H$4-G$4),0),0)</f>
        <v>0</v>
      </c>
      <c r="I355">
        <f t="shared" ref="I355" si="1322">IF($A356&gt;H$4,IF($A356&lt;=I$4,H$5+(I$5-H$5)*($A356-H$4)/(I$4-H$4),0),0)</f>
        <v>0</v>
      </c>
      <c r="J355">
        <f t="shared" ref="J355" si="1323">IF($A356&gt;I$4,IF($A356&lt;=J$4,I$5+(J$5-I$5)*($A356-I$4)/(J$4-I$4),0),0)</f>
        <v>0</v>
      </c>
      <c r="K355">
        <f t="shared" ref="K355" si="1324">IF($A356&gt;J$4,IF($A356&lt;=K$4,J$5+(K$5-J$5)*($A356-J$4)/(K$4-J$4),0),0)</f>
        <v>0</v>
      </c>
      <c r="L355">
        <f>IF($A356&gt;K$4,IF($A356&lt;=L$4,K$5+(L$5-K$5)*($A356-K$4)/(L$4-K$4),L$5),0)</f>
        <v>11.728454996544755</v>
      </c>
      <c r="M355" s="32">
        <f t="shared" si="1220"/>
        <v>11.728454996544755</v>
      </c>
    </row>
    <row r="356" spans="1:13" ht="15.75" thickBot="1" x14ac:dyDescent="0.3">
      <c r="A356">
        <f>K337</f>
        <v>6.920414597092365</v>
      </c>
      <c r="B356" t="s">
        <v>72</v>
      </c>
      <c r="C356">
        <f>IF($A356&lt;=C$4,C$6,0)</f>
        <v>0</v>
      </c>
      <c r="D356">
        <f>IF($A356&gt;C$4,IF($A356&lt;=D$4,C$6+(D$6-C$6)*($A356-C$4)/(D$4-C$4),0),0)</f>
        <v>0</v>
      </c>
      <c r="E356">
        <f t="shared" ref="E356" si="1325">IF($A356&gt;D$4,IF($A356&lt;=E$4,D$6+(E$6-D$6)*($A356-D$4)/(E$4-D$4),0),0)</f>
        <v>0</v>
      </c>
      <c r="F356">
        <f t="shared" ref="F356" si="1326">IF($A356&gt;E$4,IF($A356&lt;=F$4,E$6+(F$6-E$6)*($A356-E$4)/(F$4-E$4),0),0)</f>
        <v>0</v>
      </c>
      <c r="G356">
        <f t="shared" ref="G356" si="1327">IF($A356&gt;F$4,IF($A356&lt;=G$4,F$6+(G$6-F$6)*($A356-F$4)/(G$4-F$4),0),0)</f>
        <v>0</v>
      </c>
      <c r="H356">
        <f t="shared" ref="H356" si="1328">IF($A356&gt;G$4,IF($A356&lt;=H$4,G$6+(H$6-G$6)*($A356-G$4)/(H$4-G$4),0),0)</f>
        <v>0</v>
      </c>
      <c r="I356">
        <f t="shared" ref="I356" si="1329">IF($A356&gt;H$4,IF($A356&lt;=I$4,H$6+(I$6-H$6)*($A356-H$4)/(I$4-H$4),0),0)</f>
        <v>0</v>
      </c>
      <c r="J356">
        <f t="shared" ref="J356" si="1330">IF($A356&gt;I$4,IF($A356&lt;=J$4,I$6+(J$6-I$6)*($A356-I$4)/(J$4-I$4),0),0)</f>
        <v>0</v>
      </c>
      <c r="K356">
        <f t="shared" ref="K356" si="1331">IF($A356&gt;J$4,IF($A356&lt;=K$4,J$6+(K$6-J$6)*($A356-J$4)/(K$4-J$4),0),0)</f>
        <v>0</v>
      </c>
      <c r="L356">
        <f>IF($A356&gt;K$4,IF($A356&lt;=L$4,K$6+(L$6-K$6)*($A356-K$4)/(L$4-K$4),L$6),0)</f>
        <v>12.362207650303127</v>
      </c>
      <c r="M356" s="34">
        <f t="shared" si="1220"/>
        <v>12.362207650303127</v>
      </c>
    </row>
    <row r="357" spans="1:13" x14ac:dyDescent="0.25">
      <c r="A357" s="57" t="s">
        <v>89</v>
      </c>
      <c r="B357" t="s">
        <v>71</v>
      </c>
      <c r="C357">
        <f>IF($A358&lt;=C$4,C$5,0)</f>
        <v>0</v>
      </c>
      <c r="D357">
        <f>IF($A358&gt;C$4,IF($A358&lt;=D$4,C$5+(D$5-C$5)*($A358-C$4)/(D$4-C$4),0),0)</f>
        <v>0</v>
      </c>
      <c r="E357">
        <f>IF($A358&gt;D$4,IF($A358&lt;=E$4,D$5+(E$5-D$5)*($A358-D$4)/(E$4-D$4),0),0)</f>
        <v>0</v>
      </c>
      <c r="F357">
        <f t="shared" ref="F357" si="1332">IF($A358&gt;E$4,IF($A358&lt;=F$4,E$5+(F$5-E$5)*($A358-E$4)/(F$4-E$4),0),0)</f>
        <v>0</v>
      </c>
      <c r="G357">
        <f t="shared" ref="G357" si="1333">IF($A358&gt;F$4,IF($A358&lt;=G$4,F$5+(G$5-F$5)*($A358-F$4)/(G$4-F$4),0),0)</f>
        <v>0</v>
      </c>
      <c r="H357">
        <f t="shared" ref="H357" si="1334">IF($A358&gt;G$4,IF($A358&lt;=H$4,G$5+(H$5-G$5)*($A358-G$4)/(H$4-G$4),0),0)</f>
        <v>0</v>
      </c>
      <c r="I357">
        <f t="shared" ref="I357" si="1335">IF($A358&gt;H$4,IF($A358&lt;=I$4,H$5+(I$5-H$5)*($A358-H$4)/(I$4-H$4),0),0)</f>
        <v>0</v>
      </c>
      <c r="J357">
        <f t="shared" ref="J357" si="1336">IF($A358&gt;I$4,IF($A358&lt;=J$4,I$5+(J$5-I$5)*($A358-I$4)/(J$4-I$4),0),0)</f>
        <v>0</v>
      </c>
      <c r="K357">
        <f t="shared" ref="K357" si="1337">IF($A358&gt;J$4,IF($A358&lt;=K$4,J$5+(K$5-J$5)*($A358-J$4)/(K$4-J$4),0),0)</f>
        <v>0</v>
      </c>
      <c r="L357">
        <f>IF($A358&gt;K$4,IF($A358&lt;=L$4,K$5+(L$5-K$5)*($A358-K$4)/(L$4-K$4),L$5),0)</f>
        <v>11.7</v>
      </c>
      <c r="M357" s="32">
        <f t="shared" si="1220"/>
        <v>11.7</v>
      </c>
    </row>
    <row r="358" spans="1:13" ht="15.75" thickBot="1" x14ac:dyDescent="0.3">
      <c r="A358">
        <f>L337</f>
        <v>8.7100450698085972</v>
      </c>
      <c r="B358" t="s">
        <v>72</v>
      </c>
      <c r="C358">
        <f>IF($A358&lt;=C$4,C$6,0)</f>
        <v>0</v>
      </c>
      <c r="D358">
        <f>IF($A358&gt;C$4,IF($A358&lt;=D$4,C$6+(D$6-C$6)*($A358-C$4)/(D$4-C$4),0),0)</f>
        <v>0</v>
      </c>
      <c r="E358">
        <f t="shared" ref="E358" si="1338">IF($A358&gt;D$4,IF($A358&lt;=E$4,D$6+(E$6-D$6)*($A358-D$4)/(E$4-D$4),0),0)</f>
        <v>0</v>
      </c>
      <c r="F358">
        <f t="shared" ref="F358" si="1339">IF($A358&gt;E$4,IF($A358&lt;=F$4,E$6+(F$6-E$6)*($A358-E$4)/(F$4-E$4),0),0)</f>
        <v>0</v>
      </c>
      <c r="G358">
        <f t="shared" ref="G358" si="1340">IF($A358&gt;F$4,IF($A358&lt;=G$4,F$6+(G$6-F$6)*($A358-F$4)/(G$4-F$4),0),0)</f>
        <v>0</v>
      </c>
      <c r="H358">
        <f t="shared" ref="H358" si="1341">IF($A358&gt;G$4,IF($A358&lt;=H$4,G$6+(H$6-G$6)*($A358-G$4)/(H$4-G$4),0),0)</f>
        <v>0</v>
      </c>
      <c r="I358">
        <f t="shared" ref="I358" si="1342">IF($A358&gt;H$4,IF($A358&lt;=I$4,H$6+(I$6-H$6)*($A358-H$4)/(I$4-H$4),0),0)</f>
        <v>0</v>
      </c>
      <c r="J358">
        <f t="shared" ref="J358" si="1343">IF($A358&gt;I$4,IF($A358&lt;=J$4,I$6+(J$6-I$6)*($A358-I$4)/(J$4-I$4),0),0)</f>
        <v>0</v>
      </c>
      <c r="K358">
        <f t="shared" ref="K358" si="1344">IF($A358&gt;J$4,IF($A358&lt;=K$4,J$6+(K$6-J$6)*($A358-J$4)/(K$4-J$4),0),0)</f>
        <v>0</v>
      </c>
      <c r="L358">
        <f>IF($A358&gt;K$4,IF($A358&lt;=L$4,K$6+(L$6-K$6)*($A358-K$4)/(L$4-K$4),L$6),0)</f>
        <v>13.6</v>
      </c>
      <c r="M358" s="34">
        <f t="shared" si="1220"/>
        <v>13.6</v>
      </c>
    </row>
    <row r="360" spans="1:13" x14ac:dyDescent="0.25">
      <c r="B360" t="s">
        <v>90</v>
      </c>
    </row>
    <row r="361" spans="1:13" ht="15.75" thickBot="1" x14ac:dyDescent="0.3">
      <c r="C361" s="25">
        <v>1</v>
      </c>
      <c r="D361" s="25">
        <v>2</v>
      </c>
      <c r="E361" s="25">
        <v>3</v>
      </c>
      <c r="F361" s="25">
        <v>4</v>
      </c>
      <c r="G361" s="25">
        <v>5</v>
      </c>
      <c r="H361" s="25">
        <v>6</v>
      </c>
      <c r="I361" s="25">
        <v>7</v>
      </c>
      <c r="J361" s="25">
        <v>8</v>
      </c>
      <c r="K361" s="25">
        <v>9</v>
      </c>
      <c r="L361" s="25">
        <v>10</v>
      </c>
    </row>
    <row r="362" spans="1:13" x14ac:dyDescent="0.25">
      <c r="B362" t="s">
        <v>71</v>
      </c>
      <c r="C362" s="58">
        <f>M339</f>
        <v>12.357647536578853</v>
      </c>
      <c r="D362" s="59">
        <f>M341</f>
        <v>12.206752210163947</v>
      </c>
      <c r="E362" s="59">
        <f>M343</f>
        <v>12.085996971788887</v>
      </c>
      <c r="F362" s="59">
        <f>M345</f>
        <v>12</v>
      </c>
      <c r="G362" s="59">
        <f>M347</f>
        <v>11.990387813960934</v>
      </c>
      <c r="H362" s="59">
        <f>M349</f>
        <v>11.919513339689637</v>
      </c>
      <c r="I362" s="59">
        <f>M351</f>
        <v>11.839962339661483</v>
      </c>
      <c r="J362" s="59">
        <f>M353</f>
        <v>11.777452765591773</v>
      </c>
      <c r="K362" s="59">
        <f>M355</f>
        <v>11.728454996544755</v>
      </c>
      <c r="L362" s="60">
        <f>M357</f>
        <v>11.7</v>
      </c>
    </row>
    <row r="363" spans="1:13" ht="15.75" thickBot="1" x14ac:dyDescent="0.3">
      <c r="B363" t="s">
        <v>72</v>
      </c>
      <c r="C363" s="52">
        <f>M340</f>
        <v>3.5847049268422952</v>
      </c>
      <c r="D363" s="53">
        <f t="shared" ref="D363" si="1345">M342</f>
        <v>3.8864955796721068</v>
      </c>
      <c r="E363" s="53">
        <f>M344</f>
        <v>4.1560121128444516</v>
      </c>
      <c r="F363" s="53">
        <f>M346</f>
        <v>4.6622491114442806</v>
      </c>
      <c r="G363" s="53">
        <f>M348</f>
        <v>5.496121860390665</v>
      </c>
      <c r="H363" s="53">
        <f>M350</f>
        <v>6.2048666031036337</v>
      </c>
      <c r="I363" s="53">
        <f>M352</f>
        <v>8.1110733196477405</v>
      </c>
      <c r="J363" s="53">
        <f>M354</f>
        <v>10.230804696757902</v>
      </c>
      <c r="K363" s="53">
        <f>M356</f>
        <v>12.362207650303127</v>
      </c>
      <c r="L363" s="54">
        <f>M358</f>
        <v>13.6</v>
      </c>
    </row>
    <row r="364" spans="1:13" x14ac:dyDescent="0.25">
      <c r="B364" t="s">
        <v>161</v>
      </c>
      <c r="C364">
        <f>100-C362-C363</f>
        <v>84.057647536578855</v>
      </c>
      <c r="D364">
        <f t="shared" ref="D364:L364" si="1346">100-D362-D363</f>
        <v>83.906752210163958</v>
      </c>
      <c r="E364">
        <f t="shared" si="1346"/>
        <v>83.757990915366662</v>
      </c>
      <c r="F364">
        <f t="shared" si="1346"/>
        <v>83.337750888555718</v>
      </c>
      <c r="G364">
        <f t="shared" si="1346"/>
        <v>82.513490325648405</v>
      </c>
      <c r="H364">
        <f t="shared" si="1346"/>
        <v>81.875620057206717</v>
      </c>
      <c r="I364">
        <f t="shared" si="1346"/>
        <v>80.048964340690773</v>
      </c>
      <c r="J364">
        <f t="shared" si="1346"/>
        <v>77.991742537650325</v>
      </c>
      <c r="K364">
        <f t="shared" si="1346"/>
        <v>75.909337353152125</v>
      </c>
      <c r="L364">
        <f t="shared" si="1346"/>
        <v>74.7</v>
      </c>
    </row>
    <row r="369" spans="1:13" ht="18.75" x14ac:dyDescent="0.3">
      <c r="B369" s="56">
        <v>2027</v>
      </c>
    </row>
    <row r="370" spans="1:13" x14ac:dyDescent="0.25">
      <c r="C370" s="25">
        <v>1</v>
      </c>
      <c r="D370" s="25">
        <v>2</v>
      </c>
      <c r="E370" s="25">
        <v>3</v>
      </c>
      <c r="F370" s="25">
        <v>4</v>
      </c>
      <c r="G370" s="25">
        <v>5</v>
      </c>
      <c r="H370" s="25">
        <v>6</v>
      </c>
      <c r="I370" s="25">
        <v>7</v>
      </c>
      <c r="J370" s="25">
        <v>8</v>
      </c>
      <c r="K370" s="25">
        <v>9</v>
      </c>
      <c r="L370" s="25">
        <v>10</v>
      </c>
    </row>
    <row r="371" spans="1:13" x14ac:dyDescent="0.25">
      <c r="B371" t="s">
        <v>79</v>
      </c>
      <c r="C371" s="8">
        <f>INDEX(decdoh2027,'матрица расходов'!C370)/расслоение!$M$387</f>
        <v>0.9973957013713638</v>
      </c>
      <c r="D371" s="8">
        <f>INDEX(decdoh2027,'матрица расходов'!D370)/расслоение!$M$387</f>
        <v>1.4061339989429888</v>
      </c>
      <c r="E371" s="8">
        <f>INDEX(decdoh2027,'матрица расходов'!E370)/расслоение!$M$387</f>
        <v>1.8591817538747177</v>
      </c>
      <c r="F371" s="8">
        <f>INDEX(decdoh2027,'матрица расходов'!F370)/расслоение!$M$387</f>
        <v>2.3732638115938958</v>
      </c>
      <c r="G371" s="8">
        <f>INDEX(decdoh2027,'матрица расходов'!G370)/расслоение!$M$387</f>
        <v>2.9714179013055975</v>
      </c>
      <c r="H371" s="8">
        <f>INDEX(decdoh2027,'матрица расходов'!H370)/расслоение!$M$387</f>
        <v>3.6853774682743512</v>
      </c>
      <c r="I371" s="8">
        <f>INDEX(decdoh2027,'матрица расходов'!I370)/расслоение!$M$387</f>
        <v>4.5588539190972535</v>
      </c>
      <c r="J371" s="8">
        <f>INDEX(decdoh2027,'матрица расходов'!J370)/расслоение!$M$387</f>
        <v>5.652057768288854</v>
      </c>
      <c r="K371" s="8">
        <f>INDEX(decdoh2027,'матрица расходов'!K370)/расслоение!$M$387</f>
        <v>7.0479263162092849</v>
      </c>
      <c r="L371" s="8">
        <f>INDEX(decdoh2027,'матрица расходов'!L370)/расслоение!$M$387</f>
        <v>8.8607019978632113</v>
      </c>
    </row>
    <row r="372" spans="1:13" ht="15.75" thickBot="1" x14ac:dyDescent="0.3"/>
    <row r="373" spans="1:13" x14ac:dyDescent="0.25">
      <c r="A373" s="57" t="s">
        <v>80</v>
      </c>
      <c r="B373" t="s">
        <v>71</v>
      </c>
      <c r="C373">
        <f>IF($A374&lt;=C$4,C$5,0)</f>
        <v>0</v>
      </c>
      <c r="D373">
        <f>IF($A374&gt;C$4,IF($A374&lt;=D$4,C$5+(D$5-C$5)*($A374-C$4)/(D$4-C$4),0),0)</f>
        <v>0</v>
      </c>
      <c r="E373">
        <f>IF($A374&gt;D$4,IF($A374&lt;=E$4,D$5+(E$5-D$5)*($A374-D$4)/(E$4-D$4),0),0)</f>
        <v>12.346918457761932</v>
      </c>
      <c r="F373">
        <f t="shared" ref="F373" si="1347">IF($A374&gt;E$4,IF($A374&lt;=F$4,E$5+(F$5-E$5)*($A374-E$4)/(F$4-E$4),0),0)</f>
        <v>0</v>
      </c>
      <c r="G373">
        <f t="shared" ref="G373" si="1348">IF($A374&gt;F$4,IF($A374&lt;=G$4,F$5+(G$5-F$5)*($A374-F$4)/(G$4-F$4),0),0)</f>
        <v>0</v>
      </c>
      <c r="H373">
        <f t="shared" ref="H373" si="1349">IF($A374&gt;G$4,IF($A374&lt;=H$4,G$5+(H$5-G$5)*($A374-G$4)/(H$4-G$4),0),0)</f>
        <v>0</v>
      </c>
      <c r="I373">
        <f t="shared" ref="I373" si="1350">IF($A374&gt;H$4,IF($A374&lt;=I$4,H$5+(I$5-H$5)*($A374-H$4)/(I$4-H$4),0),0)</f>
        <v>0</v>
      </c>
      <c r="J373">
        <f t="shared" ref="J373" si="1351">IF($A374&gt;I$4,IF($A374&lt;=J$4,I$5+(J$5-I$5)*($A374-I$4)/(J$4-I$4),0),0)</f>
        <v>0</v>
      </c>
      <c r="K373">
        <f t="shared" ref="K373" si="1352">IF($A374&gt;J$4,IF($A374&lt;=K$4,J$5+(K$5-J$5)*($A374-J$4)/(K$4-J$4),0),0)</f>
        <v>0</v>
      </c>
      <c r="L373">
        <f>IF($A374&gt;K$4,IF($A374&lt;=L$4,K$5+(L$5-K$5)*($A374-K$4)/(L$4-K$4),L$5),0)</f>
        <v>0</v>
      </c>
      <c r="M373" s="32">
        <f t="shared" ref="M373:M392" si="1353">SUM(C373:L373)</f>
        <v>12.346918457761932</v>
      </c>
    </row>
    <row r="374" spans="1:13" ht="15.75" thickBot="1" x14ac:dyDescent="0.3">
      <c r="A374">
        <f>C371</f>
        <v>0.9973957013713638</v>
      </c>
      <c r="B374" t="s">
        <v>72</v>
      </c>
      <c r="C374">
        <f>IF($A374&lt;=C$4,C$6,0)</f>
        <v>0</v>
      </c>
      <c r="D374">
        <f>IF($A374&gt;C$4,IF($A374&lt;=D$4,C$6+(D$6-C$6)*($A374-C$4)/(D$4-C$4),0),0)</f>
        <v>0</v>
      </c>
      <c r="E374">
        <f t="shared" ref="E374" si="1354">IF($A374&gt;D$4,IF($A374&lt;=E$4,D$6+(E$6-D$6)*($A374-D$4)/(E$4-D$4),0),0)</f>
        <v>3.6061630844761368</v>
      </c>
      <c r="F374">
        <f t="shared" ref="F374" si="1355">IF($A374&gt;E$4,IF($A374&lt;=F$4,E$6+(F$6-E$6)*($A374-E$4)/(F$4-E$4),0),0)</f>
        <v>0</v>
      </c>
      <c r="G374">
        <f t="shared" ref="G374" si="1356">IF($A374&gt;F$4,IF($A374&lt;=G$4,F$6+(G$6-F$6)*($A374-F$4)/(G$4-F$4),0),0)</f>
        <v>0</v>
      </c>
      <c r="H374">
        <f t="shared" ref="H374" si="1357">IF($A374&gt;G$4,IF($A374&lt;=H$4,G$6+(H$6-G$6)*($A374-G$4)/(H$4-G$4),0),0)</f>
        <v>0</v>
      </c>
      <c r="I374">
        <f t="shared" ref="I374" si="1358">IF($A374&gt;H$4,IF($A374&lt;=I$4,H$6+(I$6-H$6)*($A374-H$4)/(I$4-H$4),0),0)</f>
        <v>0</v>
      </c>
      <c r="J374">
        <f t="shared" ref="J374" si="1359">IF($A374&gt;I$4,IF($A374&lt;=J$4,I$6+(J$6-I$6)*($A374-I$4)/(J$4-I$4),0),0)</f>
        <v>0</v>
      </c>
      <c r="K374">
        <f t="shared" ref="K374" si="1360">IF($A374&gt;J$4,IF($A374&lt;=K$4,J$6+(K$6-J$6)*($A374-J$4)/(K$4-J$4),0),0)</f>
        <v>0</v>
      </c>
      <c r="L374">
        <f>IF($A374&gt;K$4,IF($A374&lt;=L$4,K$6+(L$6-K$6)*($A374-K$4)/(L$4-K$4),L$6),0)</f>
        <v>0</v>
      </c>
      <c r="M374" s="34">
        <f t="shared" si="1353"/>
        <v>3.6061630844761368</v>
      </c>
    </row>
    <row r="375" spans="1:13" x14ac:dyDescent="0.25">
      <c r="A375" s="57" t="s">
        <v>81</v>
      </c>
      <c r="B375" t="s">
        <v>71</v>
      </c>
      <c r="C375">
        <f>IF($A376&lt;=C$4,C$5,0)</f>
        <v>0</v>
      </c>
      <c r="D375">
        <f>IF($A376&gt;C$4,IF($A376&lt;=D$4,C$5+(D$5-C$5)*($A376-C$4)/(D$4-C$4),0),0)</f>
        <v>0</v>
      </c>
      <c r="E375">
        <f>IF($A376&gt;D$4,IF($A376&lt;=E$4,D$5+(E$5-D$5)*($A376-D$4)/(E$4-D$4),0),0)</f>
        <v>0</v>
      </c>
      <c r="F375">
        <f t="shared" ref="F375" si="1361">IF($A376&gt;E$4,IF($A376&lt;=F$4,E$5+(F$5-E$5)*($A376-E$4)/(F$4-E$4),0),0)</f>
        <v>0</v>
      </c>
      <c r="G375">
        <f t="shared" ref="G375" si="1362">IF($A376&gt;F$4,IF($A376&lt;=G$4,F$5+(G$5-F$5)*($A376-F$4)/(G$4-F$4),0),0)</f>
        <v>12.195518333626946</v>
      </c>
      <c r="H375">
        <f t="shared" ref="H375" si="1363">IF($A376&gt;G$4,IF($A376&lt;=H$4,G$5+(H$5-G$5)*($A376-G$4)/(H$4-G$4),0),0)</f>
        <v>0</v>
      </c>
      <c r="I375">
        <f t="shared" ref="I375" si="1364">IF($A376&gt;H$4,IF($A376&lt;=I$4,H$5+(I$5-H$5)*($A376-H$4)/(I$4-H$4),0),0)</f>
        <v>0</v>
      </c>
      <c r="J375">
        <f t="shared" ref="J375" si="1365">IF($A376&gt;I$4,IF($A376&lt;=J$4,I$5+(J$5-I$5)*($A376-I$4)/(J$4-I$4),0),0)</f>
        <v>0</v>
      </c>
      <c r="K375">
        <f t="shared" ref="K375" si="1366">IF($A376&gt;J$4,IF($A376&lt;=K$4,J$5+(K$5-J$5)*($A376-J$4)/(K$4-J$4),0),0)</f>
        <v>0</v>
      </c>
      <c r="L375">
        <f>IF($A376&gt;K$4,IF($A376&lt;=L$4,K$5+(L$5-K$5)*($A376-K$4)/(L$4-K$4),L$5),0)</f>
        <v>0</v>
      </c>
      <c r="M375" s="32">
        <f t="shared" si="1353"/>
        <v>12.195518333626946</v>
      </c>
    </row>
    <row r="376" spans="1:13" ht="15.75" thickBot="1" x14ac:dyDescent="0.3">
      <c r="A376">
        <f>D371</f>
        <v>1.4061339989429888</v>
      </c>
      <c r="B376" t="s">
        <v>72</v>
      </c>
      <c r="C376">
        <f>IF($A376&lt;=C$4,C$6,0)</f>
        <v>0</v>
      </c>
      <c r="D376">
        <f>IF($A376&gt;C$4,IF($A376&lt;=D$4,C$6+(D$6-C$6)*($A376-C$4)/(D$4-C$4),0),0)</f>
        <v>0</v>
      </c>
      <c r="E376">
        <f t="shared" ref="E376" si="1367">IF($A376&gt;D$4,IF($A376&lt;=E$4,D$6+(E$6-D$6)*($A376-D$4)/(E$4-D$4),0),0)</f>
        <v>0</v>
      </c>
      <c r="F376">
        <f t="shared" ref="F376" si="1368">IF($A376&gt;E$4,IF($A376&lt;=F$4,E$6+(F$6-E$6)*($A376-E$4)/(F$4-E$4),0),0)</f>
        <v>0</v>
      </c>
      <c r="G376">
        <f t="shared" ref="G376" si="1369">IF($A376&gt;F$4,IF($A376&lt;=G$4,F$6+(G$6-F$6)*($A376-F$4)/(G$4-F$4),0),0)</f>
        <v>3.9089633327461049</v>
      </c>
      <c r="H376">
        <f t="shared" ref="H376" si="1370">IF($A376&gt;G$4,IF($A376&lt;=H$4,G$6+(H$6-G$6)*($A376-G$4)/(H$4-G$4),0),0)</f>
        <v>0</v>
      </c>
      <c r="I376">
        <f t="shared" ref="I376" si="1371">IF($A376&gt;H$4,IF($A376&lt;=I$4,H$6+(I$6-H$6)*($A376-H$4)/(I$4-H$4),0),0)</f>
        <v>0</v>
      </c>
      <c r="J376">
        <f t="shared" ref="J376" si="1372">IF($A376&gt;I$4,IF($A376&lt;=J$4,I$6+(J$6-I$6)*($A376-I$4)/(J$4-I$4),0),0)</f>
        <v>0</v>
      </c>
      <c r="K376">
        <f t="shared" ref="K376" si="1373">IF($A376&gt;J$4,IF($A376&lt;=K$4,J$6+(K$6-J$6)*($A376-J$4)/(K$4-J$4),0),0)</f>
        <v>0</v>
      </c>
      <c r="L376">
        <f>IF($A376&gt;K$4,IF($A376&lt;=L$4,K$6+(L$6-K$6)*($A376-K$4)/(L$4-K$4),L$6),0)</f>
        <v>0</v>
      </c>
      <c r="M376" s="34">
        <f t="shared" si="1353"/>
        <v>3.9089633327461049</v>
      </c>
    </row>
    <row r="377" spans="1:13" x14ac:dyDescent="0.25">
      <c r="A377" s="57" t="s">
        <v>82</v>
      </c>
      <c r="B377" t="s">
        <v>71</v>
      </c>
      <c r="C377">
        <f>IF($A378&lt;=C$4,C$5,0)</f>
        <v>0</v>
      </c>
      <c r="D377">
        <f>IF($A378&gt;C$4,IF($A378&lt;=D$4,C$5+(D$5-C$5)*($A378-C$4)/(D$4-C$4),0),0)</f>
        <v>0</v>
      </c>
      <c r="E377">
        <f>IF($A378&gt;D$4,IF($A378&lt;=E$4,D$5+(E$5-D$5)*($A378-D$4)/(E$4-D$4),0),0)</f>
        <v>0</v>
      </c>
      <c r="F377">
        <f t="shared" ref="F377" si="1374">IF($A378&gt;E$4,IF($A378&lt;=F$4,E$5+(F$5-E$5)*($A378-E$4)/(F$4-E$4),0),0)</f>
        <v>0</v>
      </c>
      <c r="G377">
        <f t="shared" ref="G377" si="1375">IF($A378&gt;F$4,IF($A378&lt;=G$4,F$5+(G$5-F$5)*($A378-F$4)/(G$4-F$4),0),0)</f>
        <v>0</v>
      </c>
      <c r="H377">
        <f t="shared" ref="H377" si="1376">IF($A378&gt;G$4,IF($A378&lt;=H$4,G$5+(H$5-G$5)*($A378-G$4)/(H$4-G$4),0),0)</f>
        <v>12.076264836114191</v>
      </c>
      <c r="I377">
        <f t="shared" ref="I377" si="1377">IF($A378&gt;H$4,IF($A378&lt;=I$4,H$5+(I$5-H$5)*($A378-H$4)/(I$4-H$4),0),0)</f>
        <v>0</v>
      </c>
      <c r="J377">
        <f t="shared" ref="J377" si="1378">IF($A378&gt;I$4,IF($A378&lt;=J$4,I$5+(J$5-I$5)*($A378-I$4)/(J$4-I$4),0),0)</f>
        <v>0</v>
      </c>
      <c r="K377">
        <f t="shared" ref="K377" si="1379">IF($A378&gt;J$4,IF($A378&lt;=K$4,J$5+(K$5-J$5)*($A378-J$4)/(K$4-J$4),0),0)</f>
        <v>0</v>
      </c>
      <c r="L377">
        <f>IF($A378&gt;K$4,IF($A378&lt;=L$4,K$5+(L$5-K$5)*($A378-K$4)/(L$4-K$4),L$5),0)</f>
        <v>0</v>
      </c>
      <c r="M377" s="32">
        <f t="shared" si="1353"/>
        <v>12.076264836114191</v>
      </c>
    </row>
    <row r="378" spans="1:13" ht="15.75" thickBot="1" x14ac:dyDescent="0.3">
      <c r="A378">
        <f>E371</f>
        <v>1.8591817538747177</v>
      </c>
      <c r="B378" t="s">
        <v>72</v>
      </c>
      <c r="C378">
        <f>IF($A378&lt;=C$4,C$6,0)</f>
        <v>0</v>
      </c>
      <c r="D378">
        <f>IF($A378&gt;C$4,IF($A378&lt;=D$4,C$6+(D$6-C$6)*($A378-C$4)/(D$4-C$4),0),0)</f>
        <v>0</v>
      </c>
      <c r="E378">
        <f t="shared" ref="E378" si="1380">IF($A378&gt;D$4,IF($A378&lt;=E$4,D$6+(E$6-D$6)*($A378-D$4)/(E$4-D$4),0),0)</f>
        <v>0</v>
      </c>
      <c r="F378">
        <f t="shared" ref="F378" si="1381">IF($A378&gt;E$4,IF($A378&lt;=F$4,E$6+(F$6-E$6)*($A378-E$4)/(F$4-E$4),0),0)</f>
        <v>0</v>
      </c>
      <c r="G378">
        <f t="shared" ref="G378" si="1382">IF($A378&gt;F$4,IF($A378&lt;=G$4,F$6+(G$6-F$6)*($A378-F$4)/(G$4-F$4),0),0)</f>
        <v>0</v>
      </c>
      <c r="H378">
        <f t="shared" ref="H378" si="1383">IF($A378&gt;G$4,IF($A378&lt;=H$4,G$6+(H$6-G$6)*($A378-G$4)/(H$4-G$4),0),0)</f>
        <v>4.1949406555432329</v>
      </c>
      <c r="I378">
        <f t="shared" ref="I378" si="1384">IF($A378&gt;H$4,IF($A378&lt;=I$4,H$6+(I$6-H$6)*($A378-H$4)/(I$4-H$4),0),0)</f>
        <v>0</v>
      </c>
      <c r="J378">
        <f t="shared" ref="J378" si="1385">IF($A378&gt;I$4,IF($A378&lt;=J$4,I$6+(J$6-I$6)*($A378-I$4)/(J$4-I$4),0),0)</f>
        <v>0</v>
      </c>
      <c r="K378">
        <f t="shared" ref="K378" si="1386">IF($A378&gt;J$4,IF($A378&lt;=K$4,J$6+(K$6-J$6)*($A378-J$4)/(K$4-J$4),0),0)</f>
        <v>0</v>
      </c>
      <c r="L378">
        <f>IF($A378&gt;K$4,IF($A378&lt;=L$4,K$6+(L$6-K$6)*($A378-K$4)/(L$4-K$4),L$6),0)</f>
        <v>0</v>
      </c>
      <c r="M378" s="34">
        <f t="shared" si="1353"/>
        <v>4.1949406555432329</v>
      </c>
    </row>
    <row r="379" spans="1:13" x14ac:dyDescent="0.25">
      <c r="A379" s="57" t="s">
        <v>83</v>
      </c>
      <c r="B379" t="s">
        <v>71</v>
      </c>
      <c r="C379">
        <f>IF($A380&lt;=C$4,C$5,0)</f>
        <v>0</v>
      </c>
      <c r="D379">
        <f>IF($A380&gt;C$4,IF($A380&lt;=D$4,C$5+(D$5-C$5)*($A380-C$4)/(D$4-C$4),0),0)</f>
        <v>0</v>
      </c>
      <c r="E379">
        <f>IF($A380&gt;D$4,IF($A380&lt;=E$4,D$5+(E$5-D$5)*($A380-D$4)/(E$4-D$4),0),0)</f>
        <v>0</v>
      </c>
      <c r="F379">
        <f t="shared" ref="F379" si="1387">IF($A380&gt;E$4,IF($A380&lt;=F$4,E$5+(F$5-E$5)*($A380-E$4)/(F$4-E$4),0),0)</f>
        <v>0</v>
      </c>
      <c r="G379">
        <f t="shared" ref="G379" si="1388">IF($A380&gt;F$4,IF($A380&lt;=G$4,F$5+(G$5-F$5)*($A380-F$4)/(G$4-F$4),0),0)</f>
        <v>0</v>
      </c>
      <c r="H379">
        <f t="shared" ref="H379" si="1389">IF($A380&gt;G$4,IF($A380&lt;=H$4,G$5+(H$5-G$5)*($A380-G$4)/(H$4-G$4),0),0)</f>
        <v>0</v>
      </c>
      <c r="I379">
        <f t="shared" ref="I379" si="1390">IF($A380&gt;H$4,IF($A380&lt;=I$4,H$5+(I$5-H$5)*($A380-H$4)/(I$4-H$4),0),0)</f>
        <v>12</v>
      </c>
      <c r="J379">
        <f t="shared" ref="J379" si="1391">IF($A380&gt;I$4,IF($A380&lt;=J$4,I$5+(J$5-I$5)*($A380-I$4)/(J$4-I$4),0),0)</f>
        <v>0</v>
      </c>
      <c r="K379">
        <f t="shared" ref="K379" si="1392">IF($A380&gt;J$4,IF($A380&lt;=K$4,J$5+(K$5-J$5)*($A380-J$4)/(K$4-J$4),0),0)</f>
        <v>0</v>
      </c>
      <c r="L379">
        <f>IF($A380&gt;K$4,IF($A380&lt;=L$4,K$5+(L$5-K$5)*($A380-K$4)/(L$4-K$4),L$5),0)</f>
        <v>0</v>
      </c>
      <c r="M379" s="32">
        <f t="shared" si="1353"/>
        <v>12</v>
      </c>
    </row>
    <row r="380" spans="1:13" ht="15.75" thickBot="1" x14ac:dyDescent="0.3">
      <c r="A380">
        <f>F371</f>
        <v>2.3732638115938958</v>
      </c>
      <c r="B380" t="s">
        <v>72</v>
      </c>
      <c r="C380">
        <f>IF($A380&lt;=C$4,C$6,0)</f>
        <v>0</v>
      </c>
      <c r="D380">
        <f>IF($A380&gt;C$4,IF($A380&lt;=D$4,C$6+(D$6-C$6)*($A380-C$4)/(D$4-C$4),0),0)</f>
        <v>0</v>
      </c>
      <c r="E380">
        <f t="shared" ref="E380" si="1393">IF($A380&gt;D$4,IF($A380&lt;=E$4,D$6+(E$6-D$6)*($A380-D$4)/(E$4-D$4),0),0)</f>
        <v>0</v>
      </c>
      <c r="F380">
        <f t="shared" ref="F380" si="1394">IF($A380&gt;E$4,IF($A380&lt;=F$4,E$6+(F$6-E$6)*($A380-E$4)/(F$4-E$4),0),0)</f>
        <v>0</v>
      </c>
      <c r="G380">
        <f t="shared" ref="G380" si="1395">IF($A380&gt;F$4,IF($A380&lt;=G$4,F$6+(G$6-F$6)*($A380-F$4)/(G$4-F$4),0),0)</f>
        <v>0</v>
      </c>
      <c r="H380">
        <f t="shared" ref="H380" si="1396">IF($A380&gt;G$4,IF($A380&lt;=H$4,G$6+(H$6-G$6)*($A380-G$4)/(H$4-G$4),0),0)</f>
        <v>0</v>
      </c>
      <c r="I380">
        <f t="shared" ref="I380" si="1397">IF($A380&gt;H$4,IF($A380&lt;=I$4,H$6+(I$6-H$6)*($A380-H$4)/(I$4-H$4),0),0)</f>
        <v>4.7448957173908441</v>
      </c>
      <c r="J380">
        <f t="shared" ref="J380" si="1398">IF($A380&gt;I$4,IF($A380&lt;=J$4,I$6+(J$6-I$6)*($A380-I$4)/(J$4-I$4),0),0)</f>
        <v>0</v>
      </c>
      <c r="K380">
        <f t="shared" ref="K380" si="1399">IF($A380&gt;J$4,IF($A380&lt;=K$4,J$6+(K$6-J$6)*($A380-J$4)/(K$4-J$4),0),0)</f>
        <v>0</v>
      </c>
      <c r="L380">
        <f>IF($A380&gt;K$4,IF($A380&lt;=L$4,K$6+(L$6-K$6)*($A380-K$4)/(L$4-K$4),L$6),0)</f>
        <v>0</v>
      </c>
      <c r="M380" s="34">
        <f t="shared" si="1353"/>
        <v>4.7448957173908441</v>
      </c>
    </row>
    <row r="381" spans="1:13" x14ac:dyDescent="0.25">
      <c r="A381" s="57" t="s">
        <v>84</v>
      </c>
      <c r="B381" t="s">
        <v>71</v>
      </c>
      <c r="C381">
        <f>IF($A382&lt;=C$4,C$5,0)</f>
        <v>0</v>
      </c>
      <c r="D381">
        <f>IF($A382&gt;C$4,IF($A382&lt;=D$4,C$5+(D$5-C$5)*($A382-C$4)/(D$4-C$4),0),0)</f>
        <v>0</v>
      </c>
      <c r="E381">
        <f>IF($A382&gt;D$4,IF($A382&lt;=E$4,D$5+(E$5-D$5)*($A382-D$4)/(E$4-D$4),0),0)</f>
        <v>0</v>
      </c>
      <c r="F381">
        <f t="shared" ref="F381" si="1400">IF($A382&gt;E$4,IF($A382&lt;=F$4,E$5+(F$5-E$5)*($A382-E$4)/(F$4-E$4),0),0)</f>
        <v>0</v>
      </c>
      <c r="G381">
        <f t="shared" ref="G381" si="1401">IF($A382&gt;F$4,IF($A382&lt;=G$4,F$5+(G$5-F$5)*($A382-F$4)/(G$4-F$4),0),0)</f>
        <v>0</v>
      </c>
      <c r="H381">
        <f t="shared" ref="H381" si="1402">IF($A382&gt;G$4,IF($A382&lt;=H$4,G$5+(H$5-G$5)*($A382-G$4)/(H$4-G$4),0),0)</f>
        <v>0</v>
      </c>
      <c r="I381">
        <f t="shared" ref="I381" si="1403">IF($A382&gt;H$4,IF($A382&lt;=I$4,H$5+(I$5-H$5)*($A382-H$4)/(I$4-H$4),0),0)</f>
        <v>0</v>
      </c>
      <c r="J381">
        <f t="shared" ref="J381" si="1404">IF($A382&gt;I$4,IF($A382&lt;=J$4,I$5+(J$5-I$5)*($A382-I$4)/(J$4-I$4),0),0)</f>
        <v>11.983695161484283</v>
      </c>
      <c r="K381">
        <f t="shared" ref="K381" si="1405">IF($A382&gt;J$4,IF($A382&lt;=K$4,J$5+(K$5-J$5)*($A382-J$4)/(K$4-J$4),0),0)</f>
        <v>0</v>
      </c>
      <c r="L381">
        <f>IF($A382&gt;K$4,IF($A382&lt;=L$4,K$5+(L$5-K$5)*($A382-K$4)/(L$4-K$4),L$5),0)</f>
        <v>0</v>
      </c>
      <c r="M381" s="32">
        <f t="shared" si="1353"/>
        <v>11.983695161484283</v>
      </c>
    </row>
    <row r="382" spans="1:13" ht="15.75" thickBot="1" x14ac:dyDescent="0.3">
      <c r="A382">
        <f>G371</f>
        <v>2.9714179013055975</v>
      </c>
      <c r="B382" t="s">
        <v>72</v>
      </c>
      <c r="C382">
        <f>IF($A382&lt;=C$4,C$6,0)</f>
        <v>0</v>
      </c>
      <c r="D382">
        <f>IF($A382&gt;C$4,IF($A382&lt;=D$4,C$6+(D$6-C$6)*($A382-C$4)/(D$4-C$4),0),0)</f>
        <v>0</v>
      </c>
      <c r="E382">
        <f t="shared" ref="E382" si="1406">IF($A382&gt;D$4,IF($A382&lt;=E$4,D$6+(E$6-D$6)*($A382-D$4)/(E$4-D$4),0),0)</f>
        <v>0</v>
      </c>
      <c r="F382">
        <f t="shared" ref="F382" si="1407">IF($A382&gt;E$4,IF($A382&lt;=F$4,E$6+(F$6-E$6)*($A382-E$4)/(F$4-E$4),0),0)</f>
        <v>0</v>
      </c>
      <c r="G382">
        <f t="shared" ref="G382" si="1408">IF($A382&gt;F$4,IF($A382&lt;=G$4,F$6+(G$6-F$6)*($A382-F$4)/(G$4-F$4),0),0)</f>
        <v>0</v>
      </c>
      <c r="H382">
        <f t="shared" ref="H382" si="1409">IF($A382&gt;G$4,IF($A382&lt;=H$4,G$6+(H$6-G$6)*($A382-G$4)/(H$4-G$4),0),0)</f>
        <v>0</v>
      </c>
      <c r="I382">
        <f t="shared" ref="I382" si="1410">IF($A382&gt;H$4,IF($A382&lt;=I$4,H$6+(I$6-H$6)*($A382-H$4)/(I$4-H$4),0),0)</f>
        <v>0</v>
      </c>
      <c r="J382">
        <f t="shared" ref="J382" si="1411">IF($A382&gt;I$4,IF($A382&lt;=J$4,I$6+(J$6-I$6)*($A382-I$4)/(J$4-I$4),0),0)</f>
        <v>5.5630483851571695</v>
      </c>
      <c r="K382">
        <f t="shared" ref="K382" si="1412">IF($A382&gt;J$4,IF($A382&lt;=K$4,J$6+(K$6-J$6)*($A382-J$4)/(K$4-J$4),0),0)</f>
        <v>0</v>
      </c>
      <c r="L382">
        <f>IF($A382&gt;K$4,IF($A382&lt;=L$4,K$6+(L$6-K$6)*($A382-K$4)/(L$4-K$4),L$6),0)</f>
        <v>0</v>
      </c>
      <c r="M382" s="34">
        <f t="shared" si="1353"/>
        <v>5.5630483851571695</v>
      </c>
    </row>
    <row r="383" spans="1:13" x14ac:dyDescent="0.25">
      <c r="A383" s="57" t="s">
        <v>85</v>
      </c>
      <c r="B383" t="s">
        <v>71</v>
      </c>
      <c r="C383">
        <f>IF($A384&lt;=C$4,C$5,0)</f>
        <v>0</v>
      </c>
      <c r="D383">
        <f>IF($A384&gt;C$4,IF($A384&lt;=D$4,C$5+(D$5-C$5)*($A384-C$4)/(D$4-C$4),0),0)</f>
        <v>0</v>
      </c>
      <c r="E383">
        <f>IF($A384&gt;D$4,IF($A384&lt;=E$4,D$5+(E$5-D$5)*($A384-D$4)/(E$4-D$4),0),0)</f>
        <v>0</v>
      </c>
      <c r="F383">
        <f t="shared" ref="F383" si="1413">IF($A384&gt;E$4,IF($A384&lt;=F$4,E$5+(F$5-E$5)*($A384-E$4)/(F$4-E$4),0),0)</f>
        <v>0</v>
      </c>
      <c r="G383">
        <f t="shared" ref="G383" si="1414">IF($A384&gt;F$4,IF($A384&lt;=G$4,F$5+(G$5-F$5)*($A384-F$4)/(G$4-F$4),0),0)</f>
        <v>0</v>
      </c>
      <c r="H383">
        <f t="shared" ref="H383" si="1415">IF($A384&gt;G$4,IF($A384&lt;=H$4,G$5+(H$5-G$5)*($A384-G$4)/(H$4-G$4),0),0)</f>
        <v>0</v>
      </c>
      <c r="I383">
        <f t="shared" ref="I383" si="1416">IF($A384&gt;H$4,IF($A384&lt;=I$4,H$5+(I$5-H$5)*($A384-H$4)/(I$4-H$4),0),0)</f>
        <v>0</v>
      </c>
      <c r="J383">
        <f t="shared" ref="J383" si="1417">IF($A384&gt;I$4,IF($A384&lt;=J$4,I$5+(J$5-I$5)*($A384-I$4)/(J$4-I$4),0),0)</f>
        <v>11.911578033507642</v>
      </c>
      <c r="K383">
        <f t="shared" ref="K383" si="1418">IF($A384&gt;J$4,IF($A384&lt;=K$4,J$5+(K$5-J$5)*($A384-J$4)/(K$4-J$4),0),0)</f>
        <v>0</v>
      </c>
      <c r="L383">
        <f>IF($A384&gt;K$4,IF($A384&lt;=L$4,K$5+(L$5-K$5)*($A384-K$4)/(L$4-K$4),L$5),0)</f>
        <v>0</v>
      </c>
      <c r="M383" s="32">
        <f t="shared" si="1353"/>
        <v>11.911578033507642</v>
      </c>
    </row>
    <row r="384" spans="1:13" ht="15.75" thickBot="1" x14ac:dyDescent="0.3">
      <c r="A384">
        <f>H371</f>
        <v>3.6853774682743512</v>
      </c>
      <c r="B384" t="s">
        <v>72</v>
      </c>
      <c r="C384">
        <f>IF($A384&lt;=C$4,C$6,0)</f>
        <v>0</v>
      </c>
      <c r="D384">
        <f>IF($A384&gt;C$4,IF($A384&lt;=D$4,C$6+(D$6-C$6)*($A384-C$4)/(D$4-C$4),0),0)</f>
        <v>0</v>
      </c>
      <c r="E384">
        <f t="shared" ref="E384" si="1419">IF($A384&gt;D$4,IF($A384&lt;=E$4,D$6+(E$6-D$6)*($A384-D$4)/(E$4-D$4),0),0)</f>
        <v>0</v>
      </c>
      <c r="F384">
        <f t="shared" ref="F384" si="1420">IF($A384&gt;E$4,IF($A384&lt;=F$4,E$6+(F$6-E$6)*($A384-E$4)/(F$4-E$4),0),0)</f>
        <v>0</v>
      </c>
      <c r="G384">
        <f t="shared" ref="G384" si="1421">IF($A384&gt;F$4,IF($A384&lt;=G$4,F$6+(G$6-F$6)*($A384-F$4)/(G$4-F$4),0),0)</f>
        <v>0</v>
      </c>
      <c r="H384">
        <f t="shared" ref="H384" si="1422">IF($A384&gt;G$4,IF($A384&lt;=H$4,G$6+(H$6-G$6)*($A384-G$4)/(H$4-G$4),0),0)</f>
        <v>0</v>
      </c>
      <c r="I384">
        <f t="shared" ref="I384" si="1423">IF($A384&gt;H$4,IF($A384&lt;=I$4,H$6+(I$6-H$6)*($A384-H$4)/(I$4-H$4),0),0)</f>
        <v>0</v>
      </c>
      <c r="J384">
        <f t="shared" ref="J384" si="1424">IF($A384&gt;I$4,IF($A384&lt;=J$4,I$6+(J$6-I$6)*($A384-I$4)/(J$4-I$4),0),0)</f>
        <v>6.2842196649235875</v>
      </c>
      <c r="K384">
        <f t="shared" ref="K384" si="1425">IF($A384&gt;J$4,IF($A384&lt;=K$4,J$6+(K$6-J$6)*($A384-J$4)/(K$4-J$4),0),0)</f>
        <v>0</v>
      </c>
      <c r="L384">
        <f>IF($A384&gt;K$4,IF($A384&lt;=L$4,K$6+(L$6-K$6)*($A384-K$4)/(L$4-K$4),L$6),0)</f>
        <v>0</v>
      </c>
      <c r="M384" s="34">
        <f t="shared" si="1353"/>
        <v>6.2842196649235875</v>
      </c>
    </row>
    <row r="385" spans="1:13" x14ac:dyDescent="0.25">
      <c r="A385" s="57" t="s">
        <v>86</v>
      </c>
      <c r="B385" t="s">
        <v>71</v>
      </c>
      <c r="C385">
        <f>IF($A386&lt;=C$4,C$5,0)</f>
        <v>0</v>
      </c>
      <c r="D385">
        <f>IF($A386&gt;C$4,IF($A386&lt;=D$4,C$5+(D$5-C$5)*($A386-C$4)/(D$4-C$4),0),0)</f>
        <v>0</v>
      </c>
      <c r="E385">
        <f>IF($A386&gt;D$4,IF($A386&lt;=E$4,D$5+(E$5-D$5)*($A386-D$4)/(E$4-D$4),0),0)</f>
        <v>0</v>
      </c>
      <c r="F385">
        <f t="shared" ref="F385" si="1426">IF($A386&gt;E$4,IF($A386&lt;=F$4,E$5+(F$5-E$5)*($A386-E$4)/(F$4-E$4),0),0)</f>
        <v>0</v>
      </c>
      <c r="G385">
        <f t="shared" ref="G385" si="1427">IF($A386&gt;F$4,IF($A386&lt;=G$4,F$5+(G$5-F$5)*($A386-F$4)/(G$4-F$4),0),0)</f>
        <v>0</v>
      </c>
      <c r="H385">
        <f t="shared" ref="H385" si="1428">IF($A386&gt;G$4,IF($A386&lt;=H$4,G$5+(H$5-G$5)*($A386-G$4)/(H$4-G$4),0),0)</f>
        <v>0</v>
      </c>
      <c r="I385">
        <f t="shared" ref="I385" si="1429">IF($A386&gt;H$4,IF($A386&lt;=I$4,H$5+(I$5-H$5)*($A386-H$4)/(I$4-H$4),0),0)</f>
        <v>0</v>
      </c>
      <c r="J385">
        <f t="shared" ref="J385" si="1430">IF($A386&gt;I$4,IF($A386&lt;=J$4,I$5+(J$5-I$5)*($A386-I$4)/(J$4-I$4),0),0)</f>
        <v>0</v>
      </c>
      <c r="K385">
        <f t="shared" ref="K385" si="1431">IF($A386&gt;J$4,IF($A386&lt;=K$4,J$5+(K$5-J$5)*($A386-J$4)/(K$4-J$4),0),0)</f>
        <v>11.831634782063311</v>
      </c>
      <c r="L385">
        <f>IF($A386&gt;K$4,IF($A386&lt;=L$4,K$5+(L$5-K$5)*($A386-K$4)/(L$4-K$4),L$5),0)</f>
        <v>0</v>
      </c>
      <c r="M385" s="32">
        <f t="shared" si="1353"/>
        <v>11.831634782063311</v>
      </c>
    </row>
    <row r="386" spans="1:13" ht="15.75" thickBot="1" x14ac:dyDescent="0.3">
      <c r="A386">
        <f>I371</f>
        <v>4.5588539190972535</v>
      </c>
      <c r="B386" t="s">
        <v>72</v>
      </c>
      <c r="C386">
        <f>IF($A386&lt;=C$4,C$6,0)</f>
        <v>0</v>
      </c>
      <c r="D386">
        <f>IF($A386&gt;C$4,IF($A386&lt;=D$4,C$6+(D$6-C$6)*($A386-C$4)/(D$4-C$4),0),0)</f>
        <v>0</v>
      </c>
      <c r="E386">
        <f t="shared" ref="E386" si="1432">IF($A386&gt;D$4,IF($A386&lt;=E$4,D$6+(E$6-D$6)*($A386-D$4)/(E$4-D$4),0),0)</f>
        <v>0</v>
      </c>
      <c r="F386">
        <f t="shared" ref="F386" si="1433">IF($A386&gt;E$4,IF($A386&lt;=F$4,E$6+(F$6-E$6)*($A386-E$4)/(F$4-E$4),0),0)</f>
        <v>0</v>
      </c>
      <c r="G386">
        <f t="shared" ref="G386" si="1434">IF($A386&gt;F$4,IF($A386&lt;=G$4,F$6+(G$6-F$6)*($A386-F$4)/(G$4-F$4),0),0)</f>
        <v>0</v>
      </c>
      <c r="H386">
        <f t="shared" ref="H386" si="1435">IF($A386&gt;G$4,IF($A386&lt;=H$4,G$6+(H$6-G$6)*($A386-G$4)/(H$4-G$4),0),0)</f>
        <v>0</v>
      </c>
      <c r="I386">
        <f t="shared" ref="I386" si="1436">IF($A386&gt;H$4,IF($A386&lt;=I$4,H$6+(I$6-H$6)*($A386-H$4)/(I$4-H$4),0),0)</f>
        <v>0</v>
      </c>
      <c r="J386">
        <f t="shared" ref="J386" si="1437">IF($A386&gt;I$4,IF($A386&lt;=J$4,I$6+(J$6-I$6)*($A386-I$4)/(J$4-I$4),0),0)</f>
        <v>0</v>
      </c>
      <c r="K386">
        <f t="shared" ref="K386" si="1438">IF($A386&gt;J$4,IF($A386&lt;=K$4,J$6+(K$6-J$6)*($A386-J$4)/(K$4-J$4),0),0)</f>
        <v>8.3484087111956509</v>
      </c>
      <c r="L386">
        <f>IF($A386&gt;K$4,IF($A386&lt;=L$4,K$6+(L$6-K$6)*($A386-K$4)/(L$4-K$4),L$6),0)</f>
        <v>0</v>
      </c>
      <c r="M386" s="34">
        <f t="shared" si="1353"/>
        <v>8.3484087111956509</v>
      </c>
    </row>
    <row r="387" spans="1:13" x14ac:dyDescent="0.25">
      <c r="A387" s="57" t="s">
        <v>87</v>
      </c>
      <c r="B387" t="s">
        <v>71</v>
      </c>
      <c r="C387">
        <f>IF($A388&lt;=C$4,C$5,0)</f>
        <v>0</v>
      </c>
      <c r="D387">
        <f>IF($A388&gt;C$4,IF($A388&lt;=D$4,C$5+(D$5-C$5)*($A388-C$4)/(D$4-C$4),0),0)</f>
        <v>0</v>
      </c>
      <c r="E387">
        <f>IF($A388&gt;D$4,IF($A388&lt;=E$4,D$5+(E$5-D$5)*($A388-D$4)/(E$4-D$4),0),0)</f>
        <v>0</v>
      </c>
      <c r="F387">
        <f t="shared" ref="F387" si="1439">IF($A388&gt;E$4,IF($A388&lt;=F$4,E$5+(F$5-E$5)*($A388-E$4)/(F$4-E$4),0),0)</f>
        <v>0</v>
      </c>
      <c r="G387">
        <f t="shared" ref="G387" si="1440">IF($A388&gt;F$4,IF($A388&lt;=G$4,F$5+(G$5-F$5)*($A388-F$4)/(G$4-F$4),0),0)</f>
        <v>0</v>
      </c>
      <c r="H387">
        <f t="shared" ref="H387" si="1441">IF($A388&gt;G$4,IF($A388&lt;=H$4,G$5+(H$5-G$5)*($A388-G$4)/(H$4-G$4),0),0)</f>
        <v>0</v>
      </c>
      <c r="I387">
        <f t="shared" ref="I387" si="1442">IF($A388&gt;H$4,IF($A388&lt;=I$4,H$5+(I$5-H$5)*($A388-H$4)/(I$4-H$4),0),0)</f>
        <v>0</v>
      </c>
      <c r="J387">
        <f t="shared" ref="J387" si="1443">IF($A388&gt;I$4,IF($A388&lt;=J$4,I$5+(J$5-I$5)*($A388-I$4)/(J$4-I$4),0),0)</f>
        <v>0</v>
      </c>
      <c r="K387">
        <f t="shared" ref="K387" si="1444">IF($A388&gt;J$4,IF($A388&lt;=K$4,J$5+(K$5-J$5)*($A388-J$4)/(K$4-J$4),0),0)</f>
        <v>0</v>
      </c>
      <c r="L387">
        <f>IF($A388&gt;K$4,IF($A388&lt;=L$4,K$5+(L$5-K$5)*($A388-K$4)/(L$4-K$4),L$5),0)</f>
        <v>11.773592250238831</v>
      </c>
      <c r="M387" s="32">
        <f t="shared" si="1353"/>
        <v>11.773592250238831</v>
      </c>
    </row>
    <row r="388" spans="1:13" ht="15.75" thickBot="1" x14ac:dyDescent="0.3">
      <c r="A388">
        <f>J371</f>
        <v>5.652057768288854</v>
      </c>
      <c r="B388" t="s">
        <v>72</v>
      </c>
      <c r="C388">
        <f>IF($A388&lt;=C$4,C$6,0)</f>
        <v>0</v>
      </c>
      <c r="D388">
        <f>IF($A388&gt;C$4,IF($A388&lt;=D$4,C$6+(D$6-C$6)*($A388-C$4)/(D$4-C$4),0),0)</f>
        <v>0</v>
      </c>
      <c r="E388">
        <f t="shared" ref="E388" si="1445">IF($A388&gt;D$4,IF($A388&lt;=E$4,D$6+(E$6-D$6)*($A388-D$4)/(E$4-D$4),0),0)</f>
        <v>0</v>
      </c>
      <c r="F388">
        <f t="shared" ref="F388" si="1446">IF($A388&gt;E$4,IF($A388&lt;=F$4,E$6+(F$6-E$6)*($A388-E$4)/(F$4-E$4),0),0)</f>
        <v>0</v>
      </c>
      <c r="G388">
        <f t="shared" ref="G388" si="1447">IF($A388&gt;F$4,IF($A388&lt;=G$4,F$6+(G$6-F$6)*($A388-F$4)/(G$4-F$4),0),0)</f>
        <v>0</v>
      </c>
      <c r="H388">
        <f t="shared" ref="H388" si="1448">IF($A388&gt;G$4,IF($A388&lt;=H$4,G$6+(H$6-G$6)*($A388-G$4)/(H$4-G$4),0),0)</f>
        <v>0</v>
      </c>
      <c r="I388">
        <f t="shared" ref="I388" si="1449">IF($A388&gt;H$4,IF($A388&lt;=I$4,H$6+(I$6-H$6)*($A388-H$4)/(I$4-H$4),0),0)</f>
        <v>0</v>
      </c>
      <c r="J388">
        <f t="shared" ref="J388" si="1450">IF($A388&gt;I$4,IF($A388&lt;=J$4,I$6+(J$6-I$6)*($A388-I$4)/(J$4-I$4),0),0)</f>
        <v>0</v>
      </c>
      <c r="K388">
        <f t="shared" ref="K388" si="1451">IF($A388&gt;J$4,IF($A388&lt;=K$4,J$6+(K$6-J$6)*($A388-J$4)/(K$4-J$4),0),0)</f>
        <v>0</v>
      </c>
      <c r="L388">
        <f>IF($A388&gt;K$4,IF($A388&lt;=L$4,K$6+(L$6-K$6)*($A388-K$4)/(L$4-K$4),L$6),0)</f>
        <v>10.39873711461086</v>
      </c>
      <c r="M388" s="34">
        <f t="shared" si="1353"/>
        <v>10.39873711461086</v>
      </c>
    </row>
    <row r="389" spans="1:13" x14ac:dyDescent="0.25">
      <c r="A389" s="57" t="s">
        <v>88</v>
      </c>
      <c r="B389" t="s">
        <v>71</v>
      </c>
      <c r="C389">
        <f>IF($A390&lt;=C$4,C$5,0)</f>
        <v>0</v>
      </c>
      <c r="D389">
        <f>IF($A390&gt;C$4,IF($A390&lt;=D$4,C$5+(D$5-C$5)*($A390-C$4)/(D$4-C$4),0),0)</f>
        <v>0</v>
      </c>
      <c r="E389">
        <f>IF($A390&gt;D$4,IF($A390&lt;=E$4,D$5+(E$5-D$5)*($A390-D$4)/(E$4-D$4),0),0)</f>
        <v>0</v>
      </c>
      <c r="F389">
        <f t="shared" ref="F389" si="1452">IF($A390&gt;E$4,IF($A390&lt;=F$4,E$5+(F$5-E$5)*($A390-E$4)/(F$4-E$4),0),0)</f>
        <v>0</v>
      </c>
      <c r="G389">
        <f t="shared" ref="G389" si="1453">IF($A390&gt;F$4,IF($A390&lt;=G$4,F$5+(G$5-F$5)*($A390-F$4)/(G$4-F$4),0),0)</f>
        <v>0</v>
      </c>
      <c r="H389">
        <f t="shared" ref="H389" si="1454">IF($A390&gt;G$4,IF($A390&lt;=H$4,G$5+(H$5-G$5)*($A390-G$4)/(H$4-G$4),0),0)</f>
        <v>0</v>
      </c>
      <c r="I389">
        <f t="shared" ref="I389" si="1455">IF($A390&gt;H$4,IF($A390&lt;=I$4,H$5+(I$5-H$5)*($A390-H$4)/(I$4-H$4),0),0)</f>
        <v>0</v>
      </c>
      <c r="J389">
        <f t="shared" ref="J389" si="1456">IF($A390&gt;I$4,IF($A390&lt;=J$4,I$5+(J$5-I$5)*($A390-I$4)/(J$4-I$4),0),0)</f>
        <v>0</v>
      </c>
      <c r="K389">
        <f t="shared" ref="K389" si="1457">IF($A390&gt;J$4,IF($A390&lt;=K$4,J$5+(K$5-J$5)*($A390-J$4)/(K$4-J$4),0),0)</f>
        <v>0</v>
      </c>
      <c r="L389">
        <f>IF($A390&gt;K$4,IF($A390&lt;=L$4,K$5+(L$5-K$5)*($A390-K$4)/(L$4-K$4),L$5),0)</f>
        <v>11.723917212946288</v>
      </c>
      <c r="M389" s="32">
        <f t="shared" si="1353"/>
        <v>11.723917212946288</v>
      </c>
    </row>
    <row r="390" spans="1:13" ht="15.75" thickBot="1" x14ac:dyDescent="0.3">
      <c r="A390">
        <f>K371</f>
        <v>7.0479263162092849</v>
      </c>
      <c r="B390" t="s">
        <v>72</v>
      </c>
      <c r="C390">
        <f>IF($A390&lt;=C$4,C$6,0)</f>
        <v>0</v>
      </c>
      <c r="D390">
        <f>IF($A390&gt;C$4,IF($A390&lt;=D$4,C$6+(D$6-C$6)*($A390-C$4)/(D$4-C$4),0),0)</f>
        <v>0</v>
      </c>
      <c r="E390">
        <f t="shared" ref="E390" si="1458">IF($A390&gt;D$4,IF($A390&lt;=E$4,D$6+(E$6-D$6)*($A390-D$4)/(E$4-D$4),0),0)</f>
        <v>0</v>
      </c>
      <c r="F390">
        <f t="shared" ref="F390" si="1459">IF($A390&gt;E$4,IF($A390&lt;=F$4,E$6+(F$6-E$6)*($A390-E$4)/(F$4-E$4),0),0)</f>
        <v>0</v>
      </c>
      <c r="G390">
        <f t="shared" ref="G390" si="1460">IF($A390&gt;F$4,IF($A390&lt;=G$4,F$6+(G$6-F$6)*($A390-F$4)/(G$4-F$4),0),0)</f>
        <v>0</v>
      </c>
      <c r="H390">
        <f t="shared" ref="H390" si="1461">IF($A390&gt;G$4,IF($A390&lt;=H$4,G$6+(H$6-G$6)*($A390-G$4)/(H$4-G$4),0),0)</f>
        <v>0</v>
      </c>
      <c r="I390">
        <f t="shared" ref="I390" si="1462">IF($A390&gt;H$4,IF($A390&lt;=I$4,H$6+(I$6-H$6)*($A390-H$4)/(I$4-H$4),0),0)</f>
        <v>0</v>
      </c>
      <c r="J390">
        <f t="shared" ref="J390" si="1463">IF($A390&gt;I$4,IF($A390&lt;=J$4,I$6+(J$6-I$6)*($A390-I$4)/(J$4-I$4),0),0)</f>
        <v>0</v>
      </c>
      <c r="K390">
        <f t="shared" ref="K390" si="1464">IF($A390&gt;J$4,IF($A390&lt;=K$4,J$6+(K$6-J$6)*($A390-J$4)/(K$4-J$4),0),0)</f>
        <v>0</v>
      </c>
      <c r="L390">
        <f>IF($A390&gt;K$4,IF($A390&lt;=L$4,K$6+(L$6-K$6)*($A390-K$4)/(L$4-K$4),L$6),0)</f>
        <v>12.559601236836437</v>
      </c>
      <c r="M390" s="34">
        <f t="shared" si="1353"/>
        <v>12.559601236836437</v>
      </c>
    </row>
    <row r="391" spans="1:13" x14ac:dyDescent="0.25">
      <c r="A391" s="57" t="s">
        <v>89</v>
      </c>
      <c r="B391" t="s">
        <v>71</v>
      </c>
      <c r="C391">
        <f>IF($A392&lt;=C$4,C$5,0)</f>
        <v>0</v>
      </c>
      <c r="D391">
        <f>IF($A392&gt;C$4,IF($A392&lt;=D$4,C$5+(D$5-C$5)*($A392-C$4)/(D$4-C$4),0),0)</f>
        <v>0</v>
      </c>
      <c r="E391">
        <f>IF($A392&gt;D$4,IF($A392&lt;=E$4,D$5+(E$5-D$5)*($A392-D$4)/(E$4-D$4),0),0)</f>
        <v>0</v>
      </c>
      <c r="F391">
        <f t="shared" ref="F391" si="1465">IF($A392&gt;E$4,IF($A392&lt;=F$4,E$5+(F$5-E$5)*($A392-E$4)/(F$4-E$4),0),0)</f>
        <v>0</v>
      </c>
      <c r="G391">
        <f t="shared" ref="G391" si="1466">IF($A392&gt;F$4,IF($A392&lt;=G$4,F$5+(G$5-F$5)*($A392-F$4)/(G$4-F$4),0),0)</f>
        <v>0</v>
      </c>
      <c r="H391">
        <f t="shared" ref="H391" si="1467">IF($A392&gt;G$4,IF($A392&lt;=H$4,G$5+(H$5-G$5)*($A392-G$4)/(H$4-G$4),0),0)</f>
        <v>0</v>
      </c>
      <c r="I391">
        <f t="shared" ref="I391" si="1468">IF($A392&gt;H$4,IF($A392&lt;=I$4,H$5+(I$5-H$5)*($A392-H$4)/(I$4-H$4),0),0)</f>
        <v>0</v>
      </c>
      <c r="J391">
        <f t="shared" ref="J391" si="1469">IF($A392&gt;I$4,IF($A392&lt;=J$4,I$5+(J$5-I$5)*($A392-I$4)/(J$4-I$4),0),0)</f>
        <v>0</v>
      </c>
      <c r="K391">
        <f t="shared" ref="K391" si="1470">IF($A392&gt;J$4,IF($A392&lt;=K$4,J$5+(K$5-J$5)*($A392-J$4)/(K$4-J$4),0),0)</f>
        <v>0</v>
      </c>
      <c r="L391">
        <f>IF($A392&gt;K$4,IF($A392&lt;=L$4,K$5+(L$5-K$5)*($A392-K$4)/(L$4-K$4),L$5),0)</f>
        <v>11.7</v>
      </c>
      <c r="M391" s="32">
        <f t="shared" si="1353"/>
        <v>11.7</v>
      </c>
    </row>
    <row r="392" spans="1:13" ht="15.75" thickBot="1" x14ac:dyDescent="0.3">
      <c r="A392">
        <f>L371</f>
        <v>8.8607019978632113</v>
      </c>
      <c r="B392" t="s">
        <v>72</v>
      </c>
      <c r="C392">
        <f>IF($A392&lt;=C$4,C$6,0)</f>
        <v>0</v>
      </c>
      <c r="D392">
        <f>IF($A392&gt;C$4,IF($A392&lt;=D$4,C$6+(D$6-C$6)*($A392-C$4)/(D$4-C$4),0),0)</f>
        <v>0</v>
      </c>
      <c r="E392">
        <f t="shared" ref="E392" si="1471">IF($A392&gt;D$4,IF($A392&lt;=E$4,D$6+(E$6-D$6)*($A392-D$4)/(E$4-D$4),0),0)</f>
        <v>0</v>
      </c>
      <c r="F392">
        <f t="shared" ref="F392" si="1472">IF($A392&gt;E$4,IF($A392&lt;=F$4,E$6+(F$6-E$6)*($A392-E$4)/(F$4-E$4),0),0)</f>
        <v>0</v>
      </c>
      <c r="G392">
        <f t="shared" ref="G392" si="1473">IF($A392&gt;F$4,IF($A392&lt;=G$4,F$6+(G$6-F$6)*($A392-F$4)/(G$4-F$4),0),0)</f>
        <v>0</v>
      </c>
      <c r="H392">
        <f t="shared" ref="H392" si="1474">IF($A392&gt;G$4,IF($A392&lt;=H$4,G$6+(H$6-G$6)*($A392-G$4)/(H$4-G$4),0),0)</f>
        <v>0</v>
      </c>
      <c r="I392">
        <f t="shared" ref="I392" si="1475">IF($A392&gt;H$4,IF($A392&lt;=I$4,H$6+(I$6-H$6)*($A392-H$4)/(I$4-H$4),0),0)</f>
        <v>0</v>
      </c>
      <c r="J392">
        <f t="shared" ref="J392" si="1476">IF($A392&gt;I$4,IF($A392&lt;=J$4,I$6+(J$6-I$6)*($A392-I$4)/(J$4-I$4),0),0)</f>
        <v>0</v>
      </c>
      <c r="K392">
        <f t="shared" ref="K392" si="1477">IF($A392&gt;J$4,IF($A392&lt;=K$4,J$6+(K$6-J$6)*($A392-J$4)/(K$4-J$4),0),0)</f>
        <v>0</v>
      </c>
      <c r="L392">
        <f>IF($A392&gt;K$4,IF($A392&lt;=L$4,K$6+(L$6-K$6)*($A392-K$4)/(L$4-K$4),L$6),0)</f>
        <v>13.6</v>
      </c>
      <c r="M392" s="34">
        <f t="shared" si="1353"/>
        <v>13.6</v>
      </c>
    </row>
    <row r="394" spans="1:13" x14ac:dyDescent="0.25">
      <c r="B394" t="s">
        <v>90</v>
      </c>
    </row>
    <row r="395" spans="1:13" ht="15.75" thickBot="1" x14ac:dyDescent="0.3">
      <c r="C395" s="25">
        <v>1</v>
      </c>
      <c r="D395" s="25">
        <v>2</v>
      </c>
      <c r="E395" s="25">
        <v>3</v>
      </c>
      <c r="F395" s="25">
        <v>4</v>
      </c>
      <c r="G395" s="25">
        <v>5</v>
      </c>
      <c r="H395" s="25">
        <v>6</v>
      </c>
      <c r="I395" s="25">
        <v>7</v>
      </c>
      <c r="J395" s="25">
        <v>8</v>
      </c>
      <c r="K395" s="25">
        <v>9</v>
      </c>
      <c r="L395" s="25">
        <v>10</v>
      </c>
    </row>
    <row r="396" spans="1:13" x14ac:dyDescent="0.25">
      <c r="B396" t="s">
        <v>71</v>
      </c>
      <c r="C396" s="58">
        <f>M373</f>
        <v>12.346918457761932</v>
      </c>
      <c r="D396" s="59">
        <f>M375</f>
        <v>12.195518333626946</v>
      </c>
      <c r="E396" s="59">
        <f>M377</f>
        <v>12.076264836114191</v>
      </c>
      <c r="F396" s="59">
        <f>M379</f>
        <v>12</v>
      </c>
      <c r="G396" s="59">
        <f>M381</f>
        <v>11.983695161484283</v>
      </c>
      <c r="H396" s="59">
        <f>M383</f>
        <v>11.911578033507642</v>
      </c>
      <c r="I396" s="59">
        <f>M385</f>
        <v>11.831634782063311</v>
      </c>
      <c r="J396" s="59">
        <f>M387</f>
        <v>11.773592250238831</v>
      </c>
      <c r="K396" s="59">
        <f>M389</f>
        <v>11.723917212946288</v>
      </c>
      <c r="L396" s="60">
        <f>M391</f>
        <v>11.7</v>
      </c>
    </row>
    <row r="397" spans="1:13" ht="15.75" thickBot="1" x14ac:dyDescent="0.3">
      <c r="B397" t="s">
        <v>72</v>
      </c>
      <c r="C397" s="52">
        <f>M374</f>
        <v>3.6061630844761368</v>
      </c>
      <c r="D397" s="53">
        <f t="shared" ref="D397" si="1478">M376</f>
        <v>3.9089633327461049</v>
      </c>
      <c r="E397" s="53">
        <f>M378</f>
        <v>4.1949406555432329</v>
      </c>
      <c r="F397" s="53">
        <f>M380</f>
        <v>4.7448957173908441</v>
      </c>
      <c r="G397" s="53">
        <f>M382</f>
        <v>5.5630483851571695</v>
      </c>
      <c r="H397" s="53">
        <f>M384</f>
        <v>6.2842196649235875</v>
      </c>
      <c r="I397" s="53">
        <f>M386</f>
        <v>8.3484087111956509</v>
      </c>
      <c r="J397" s="53">
        <f>M388</f>
        <v>10.39873711461086</v>
      </c>
      <c r="K397" s="53">
        <f>M390</f>
        <v>12.559601236836437</v>
      </c>
      <c r="L397" s="54">
        <f>M392</f>
        <v>13.6</v>
      </c>
    </row>
    <row r="398" spans="1:13" x14ac:dyDescent="0.25">
      <c r="B398" t="s">
        <v>161</v>
      </c>
      <c r="C398">
        <f>100-C396-C397</f>
        <v>84.046918457761933</v>
      </c>
      <c r="D398">
        <f t="shared" ref="D398:L398" si="1479">100-D396-D397</f>
        <v>83.895518333626939</v>
      </c>
      <c r="E398">
        <f t="shared" si="1479"/>
        <v>83.728794508342574</v>
      </c>
      <c r="F398">
        <f t="shared" si="1479"/>
        <v>83.255104282609153</v>
      </c>
      <c r="G398">
        <f t="shared" si="1479"/>
        <v>82.453256453358549</v>
      </c>
      <c r="H398">
        <f t="shared" si="1479"/>
        <v>81.804202301568779</v>
      </c>
      <c r="I398">
        <f t="shared" si="1479"/>
        <v>79.81995650674105</v>
      </c>
      <c r="J398">
        <f t="shared" si="1479"/>
        <v>77.827670635150298</v>
      </c>
      <c r="K398">
        <f t="shared" si="1479"/>
        <v>75.716481550217267</v>
      </c>
      <c r="L398">
        <f t="shared" si="1479"/>
        <v>74.7</v>
      </c>
    </row>
    <row r="403" spans="1:13" ht="18.75" x14ac:dyDescent="0.3">
      <c r="B403" s="56">
        <v>2028</v>
      </c>
    </row>
    <row r="404" spans="1:13" x14ac:dyDescent="0.25">
      <c r="C404" s="25">
        <v>1</v>
      </c>
      <c r="D404" s="25">
        <v>2</v>
      </c>
      <c r="E404" s="25">
        <v>3</v>
      </c>
      <c r="F404" s="25">
        <v>4</v>
      </c>
      <c r="G404" s="25">
        <v>5</v>
      </c>
      <c r="H404" s="25">
        <v>6</v>
      </c>
      <c r="I404" s="25">
        <v>7</v>
      </c>
      <c r="J404" s="25">
        <v>8</v>
      </c>
      <c r="K404" s="25">
        <v>9</v>
      </c>
      <c r="L404" s="25">
        <v>10</v>
      </c>
    </row>
    <row r="405" spans="1:13" x14ac:dyDescent="0.25">
      <c r="B405" t="s">
        <v>79</v>
      </c>
      <c r="C405" s="8">
        <f>INDEX(decdoh2028,'матрица расходов'!C404)/расслоение!$M$416</f>
        <v>1.0245985789778087</v>
      </c>
      <c r="D405" s="8">
        <f>INDEX(decdoh2028,'матрица расходов'!D404)/расслоение!$M$416</f>
        <v>1.4431297579376621</v>
      </c>
      <c r="E405" s="8">
        <f>INDEX(decdoh2028,'матрица расходов'!E404)/расслоение!$M$416</f>
        <v>1.9064182251337645</v>
      </c>
      <c r="F405" s="8">
        <f>INDEX(decdoh2028,'матрица расходов'!F404)/расслоение!$M$416</f>
        <v>2.4313578621908629</v>
      </c>
      <c r="G405" s="8">
        <f>INDEX(decdoh2028,'матрица расходов'!G404)/расслоение!$M$416</f>
        <v>3.0412192381425704</v>
      </c>
      <c r="H405" s="8">
        <f>INDEX(decdoh2028,'матрица расходов'!H404)/расслоение!$M$416</f>
        <v>3.7680565247403224</v>
      </c>
      <c r="I405" s="8">
        <f>INDEX(decdoh2028,'матрица расходов'!I404)/расслоение!$M$416</f>
        <v>4.6560229150232102</v>
      </c>
      <c r="J405" s="8">
        <f>INDEX(decdoh2028,'матрица расходов'!J404)/расслоение!$M$416</f>
        <v>5.7659374646406771</v>
      </c>
      <c r="K405" s="8">
        <f>INDEX(decdoh2028,'матрица расходов'!K404)/расслоение!$M$416</f>
        <v>7.1815757122454889</v>
      </c>
      <c r="L405" s="8">
        <f>INDEX(decdoh2028,'матрица расходов'!L404)/расслоение!$M$416</f>
        <v>9.018334728732917</v>
      </c>
    </row>
    <row r="406" spans="1:13" ht="15.75" thickBot="1" x14ac:dyDescent="0.3"/>
    <row r="407" spans="1:13" x14ac:dyDescent="0.25">
      <c r="A407" s="57" t="s">
        <v>80</v>
      </c>
      <c r="B407" t="s">
        <v>71</v>
      </c>
      <c r="C407">
        <f>IF($A408&lt;=C$4,C$5,0)</f>
        <v>0</v>
      </c>
      <c r="D407">
        <f>IF($A408&gt;C$4,IF($A408&lt;=D$4,C$5+(D$5-C$5)*($A408-C$4)/(D$4-C$4),0),0)</f>
        <v>0</v>
      </c>
      <c r="E407">
        <f>IF($A408&gt;D$4,IF($A408&lt;=E$4,D$5+(E$5-D$5)*($A408-D$4)/(E$4-D$4),0),0)</f>
        <v>12.335583925425913</v>
      </c>
      <c r="F407">
        <f t="shared" ref="F407" si="1480">IF($A408&gt;E$4,IF($A408&lt;=F$4,E$5+(F$5-E$5)*($A408-E$4)/(F$4-E$4),0),0)</f>
        <v>0</v>
      </c>
      <c r="G407">
        <f t="shared" ref="G407" si="1481">IF($A408&gt;F$4,IF($A408&lt;=G$4,F$5+(G$5-F$5)*($A408-F$4)/(G$4-F$4),0),0)</f>
        <v>0</v>
      </c>
      <c r="H407">
        <f t="shared" ref="H407" si="1482">IF($A408&gt;G$4,IF($A408&lt;=H$4,G$5+(H$5-G$5)*($A408-G$4)/(H$4-G$4),0),0)</f>
        <v>0</v>
      </c>
      <c r="I407">
        <f t="shared" ref="I407" si="1483">IF($A408&gt;H$4,IF($A408&lt;=I$4,H$5+(I$5-H$5)*($A408-H$4)/(I$4-H$4),0),0)</f>
        <v>0</v>
      </c>
      <c r="J407">
        <f t="shared" ref="J407" si="1484">IF($A408&gt;I$4,IF($A408&lt;=J$4,I$5+(J$5-I$5)*($A408-I$4)/(J$4-I$4),0),0)</f>
        <v>0</v>
      </c>
      <c r="K407">
        <f t="shared" ref="K407" si="1485">IF($A408&gt;J$4,IF($A408&lt;=K$4,J$5+(K$5-J$5)*($A408-J$4)/(K$4-J$4),0),0)</f>
        <v>0</v>
      </c>
      <c r="L407">
        <f>IF($A408&gt;K$4,IF($A408&lt;=L$4,K$5+(L$5-K$5)*($A408-K$4)/(L$4-K$4),L$5),0)</f>
        <v>0</v>
      </c>
      <c r="M407" s="32">
        <f t="shared" ref="M407:M426" si="1486">SUM(C407:L407)</f>
        <v>12.335583925425913</v>
      </c>
    </row>
    <row r="408" spans="1:13" ht="15.75" thickBot="1" x14ac:dyDescent="0.3">
      <c r="A408">
        <f>C405</f>
        <v>1.0245985789778087</v>
      </c>
      <c r="B408" t="s">
        <v>72</v>
      </c>
      <c r="C408">
        <f>IF($A408&lt;=C$4,C$6,0)</f>
        <v>0</v>
      </c>
      <c r="D408">
        <f>IF($A408&gt;C$4,IF($A408&lt;=D$4,C$6+(D$6-C$6)*($A408-C$4)/(D$4-C$4),0),0)</f>
        <v>0</v>
      </c>
      <c r="E408">
        <f t="shared" ref="E408" si="1487">IF($A408&gt;D$4,IF($A408&lt;=E$4,D$6+(E$6-D$6)*($A408-D$4)/(E$4-D$4),0),0)</f>
        <v>3.6288321491481739</v>
      </c>
      <c r="F408">
        <f t="shared" ref="F408" si="1488">IF($A408&gt;E$4,IF($A408&lt;=F$4,E$6+(F$6-E$6)*($A408-E$4)/(F$4-E$4),0),0)</f>
        <v>0</v>
      </c>
      <c r="G408">
        <f t="shared" ref="G408" si="1489">IF($A408&gt;F$4,IF($A408&lt;=G$4,F$6+(G$6-F$6)*($A408-F$4)/(G$4-F$4),0),0)</f>
        <v>0</v>
      </c>
      <c r="H408">
        <f t="shared" ref="H408" si="1490">IF($A408&gt;G$4,IF($A408&lt;=H$4,G$6+(H$6-G$6)*($A408-G$4)/(H$4-G$4),0),0)</f>
        <v>0</v>
      </c>
      <c r="I408">
        <f t="shared" ref="I408" si="1491">IF($A408&gt;H$4,IF($A408&lt;=I$4,H$6+(I$6-H$6)*($A408-H$4)/(I$4-H$4),0),0)</f>
        <v>0</v>
      </c>
      <c r="J408">
        <f t="shared" ref="J408" si="1492">IF($A408&gt;I$4,IF($A408&lt;=J$4,I$6+(J$6-I$6)*($A408-I$4)/(J$4-I$4),0),0)</f>
        <v>0</v>
      </c>
      <c r="K408">
        <f t="shared" ref="K408" si="1493">IF($A408&gt;J$4,IF($A408&lt;=K$4,J$6+(K$6-J$6)*($A408-J$4)/(K$4-J$4),0),0)</f>
        <v>0</v>
      </c>
      <c r="L408">
        <f>IF($A408&gt;K$4,IF($A408&lt;=L$4,K$6+(L$6-K$6)*($A408-K$4)/(L$4-K$4),L$6),0)</f>
        <v>0</v>
      </c>
      <c r="M408" s="34">
        <f t="shared" si="1486"/>
        <v>3.6288321491481739</v>
      </c>
    </row>
    <row r="409" spans="1:13" x14ac:dyDescent="0.25">
      <c r="A409" s="57" t="s">
        <v>81</v>
      </c>
      <c r="B409" t="s">
        <v>71</v>
      </c>
      <c r="C409">
        <f>IF($A410&lt;=C$4,C$5,0)</f>
        <v>0</v>
      </c>
      <c r="D409">
        <f>IF($A410&gt;C$4,IF($A410&lt;=D$4,C$5+(D$5-C$5)*($A410-C$4)/(D$4-C$4),0),0)</f>
        <v>0</v>
      </c>
      <c r="E409">
        <f>IF($A410&gt;D$4,IF($A410&lt;=E$4,D$5+(E$5-D$5)*($A410-D$4)/(E$4-D$4),0),0)</f>
        <v>0</v>
      </c>
      <c r="F409">
        <f t="shared" ref="F409" si="1494">IF($A410&gt;E$4,IF($A410&lt;=F$4,E$5+(F$5-E$5)*($A410-E$4)/(F$4-E$4),0),0)</f>
        <v>0</v>
      </c>
      <c r="G409">
        <f t="shared" ref="G409" si="1495">IF($A410&gt;F$4,IF($A410&lt;=G$4,F$5+(G$5-F$5)*($A410-F$4)/(G$4-F$4),0),0)</f>
        <v>12.185241733906205</v>
      </c>
      <c r="H409">
        <f t="shared" ref="H409" si="1496">IF($A410&gt;G$4,IF($A410&lt;=H$4,G$5+(H$5-G$5)*($A410-G$4)/(H$4-G$4),0),0)</f>
        <v>0</v>
      </c>
      <c r="I409">
        <f t="shared" ref="I409" si="1497">IF($A410&gt;H$4,IF($A410&lt;=I$4,H$5+(I$5-H$5)*($A410-H$4)/(I$4-H$4),0),0)</f>
        <v>0</v>
      </c>
      <c r="J409">
        <f t="shared" ref="J409" si="1498">IF($A410&gt;I$4,IF($A410&lt;=J$4,I$5+(J$5-I$5)*($A410-I$4)/(J$4-I$4),0),0)</f>
        <v>0</v>
      </c>
      <c r="K409">
        <f t="shared" ref="K409" si="1499">IF($A410&gt;J$4,IF($A410&lt;=K$4,J$5+(K$5-J$5)*($A410-J$4)/(K$4-J$4),0),0)</f>
        <v>0</v>
      </c>
      <c r="L409">
        <f>IF($A410&gt;K$4,IF($A410&lt;=L$4,K$5+(L$5-K$5)*($A410-K$4)/(L$4-K$4),L$5),0)</f>
        <v>0</v>
      </c>
      <c r="M409" s="32">
        <f t="shared" si="1486"/>
        <v>12.185241733906205</v>
      </c>
    </row>
    <row r="410" spans="1:13" ht="15.75" thickBot="1" x14ac:dyDescent="0.3">
      <c r="A410">
        <f>D405</f>
        <v>1.4431297579376621</v>
      </c>
      <c r="B410" t="s">
        <v>72</v>
      </c>
      <c r="C410">
        <f>IF($A410&lt;=C$4,C$6,0)</f>
        <v>0</v>
      </c>
      <c r="D410">
        <f>IF($A410&gt;C$4,IF($A410&lt;=D$4,C$6+(D$6-C$6)*($A410-C$4)/(D$4-C$4),0),0)</f>
        <v>0</v>
      </c>
      <c r="E410">
        <f t="shared" ref="E410" si="1500">IF($A410&gt;D$4,IF($A410&lt;=E$4,D$6+(E$6-D$6)*($A410-D$4)/(E$4-D$4),0),0)</f>
        <v>0</v>
      </c>
      <c r="F410">
        <f t="shared" ref="F410" si="1501">IF($A410&gt;E$4,IF($A410&lt;=F$4,E$6+(F$6-E$6)*($A410-E$4)/(F$4-E$4),0),0)</f>
        <v>0</v>
      </c>
      <c r="G410">
        <f t="shared" ref="G410" si="1502">IF($A410&gt;F$4,IF($A410&lt;=G$4,F$6+(G$6-F$6)*($A410-F$4)/(G$4-F$4),0),0)</f>
        <v>3.92951653218759</v>
      </c>
      <c r="H410">
        <f t="shared" ref="H410" si="1503">IF($A410&gt;G$4,IF($A410&lt;=H$4,G$6+(H$6-G$6)*($A410-G$4)/(H$4-G$4),0),0)</f>
        <v>0</v>
      </c>
      <c r="I410">
        <f t="shared" ref="I410" si="1504">IF($A410&gt;H$4,IF($A410&lt;=I$4,H$6+(I$6-H$6)*($A410-H$4)/(I$4-H$4),0),0)</f>
        <v>0</v>
      </c>
      <c r="J410">
        <f t="shared" ref="J410" si="1505">IF($A410&gt;I$4,IF($A410&lt;=J$4,I$6+(J$6-I$6)*($A410-I$4)/(J$4-I$4),0),0)</f>
        <v>0</v>
      </c>
      <c r="K410">
        <f t="shared" ref="K410" si="1506">IF($A410&gt;J$4,IF($A410&lt;=K$4,J$6+(K$6-J$6)*($A410-J$4)/(K$4-J$4),0),0)</f>
        <v>0</v>
      </c>
      <c r="L410">
        <f>IF($A410&gt;K$4,IF($A410&lt;=L$4,K$6+(L$6-K$6)*($A410-K$4)/(L$4-K$4),L$6),0)</f>
        <v>0</v>
      </c>
      <c r="M410" s="34">
        <f t="shared" si="1486"/>
        <v>3.92951653218759</v>
      </c>
    </row>
    <row r="411" spans="1:13" x14ac:dyDescent="0.25">
      <c r="A411" s="57" t="s">
        <v>82</v>
      </c>
      <c r="B411" t="s">
        <v>71</v>
      </c>
      <c r="C411">
        <f>IF($A412&lt;=C$4,C$5,0)</f>
        <v>0</v>
      </c>
      <c r="D411">
        <f>IF($A412&gt;C$4,IF($A412&lt;=D$4,C$5+(D$5-C$5)*($A412-C$4)/(D$4-C$4),0),0)</f>
        <v>0</v>
      </c>
      <c r="E411">
        <f>IF($A412&gt;D$4,IF($A412&lt;=E$4,D$5+(E$5-D$5)*($A412-D$4)/(E$4-D$4),0),0)</f>
        <v>0</v>
      </c>
      <c r="F411">
        <f t="shared" ref="F411" si="1507">IF($A412&gt;E$4,IF($A412&lt;=F$4,E$5+(F$5-E$5)*($A412-E$4)/(F$4-E$4),0),0)</f>
        <v>0</v>
      </c>
      <c r="G411">
        <f t="shared" ref="G411" si="1508">IF($A412&gt;F$4,IF($A412&lt;=G$4,F$5+(G$5-F$5)*($A412-F$4)/(G$4-F$4),0),0)</f>
        <v>0</v>
      </c>
      <c r="H411">
        <f t="shared" ref="H411" si="1509">IF($A412&gt;G$4,IF($A412&lt;=H$4,G$5+(H$5-G$5)*($A412-G$4)/(H$4-G$4),0),0)</f>
        <v>12.065996038014399</v>
      </c>
      <c r="I411">
        <f t="shared" ref="I411" si="1510">IF($A412&gt;H$4,IF($A412&lt;=I$4,H$5+(I$5-H$5)*($A412-H$4)/(I$4-H$4),0),0)</f>
        <v>0</v>
      </c>
      <c r="J411">
        <f t="shared" ref="J411" si="1511">IF($A412&gt;I$4,IF($A412&lt;=J$4,I$5+(J$5-I$5)*($A412-I$4)/(J$4-I$4),0),0)</f>
        <v>0</v>
      </c>
      <c r="K411">
        <f t="shared" ref="K411" si="1512">IF($A412&gt;J$4,IF($A412&lt;=K$4,J$5+(K$5-J$5)*($A412-J$4)/(K$4-J$4),0),0)</f>
        <v>0</v>
      </c>
      <c r="L411">
        <f>IF($A412&gt;K$4,IF($A412&lt;=L$4,K$5+(L$5-K$5)*($A412-K$4)/(L$4-K$4),L$5),0)</f>
        <v>0</v>
      </c>
      <c r="M411" s="32">
        <f t="shared" si="1486"/>
        <v>12.065996038014399</v>
      </c>
    </row>
    <row r="412" spans="1:13" ht="15.75" thickBot="1" x14ac:dyDescent="0.3">
      <c r="A412">
        <f>E405</f>
        <v>1.9064182251337645</v>
      </c>
      <c r="B412" t="s">
        <v>72</v>
      </c>
      <c r="C412">
        <f>IF($A412&lt;=C$4,C$6,0)</f>
        <v>0</v>
      </c>
      <c r="D412">
        <f>IF($A412&gt;C$4,IF($A412&lt;=D$4,C$6+(D$6-C$6)*($A412-C$4)/(D$4-C$4),0),0)</f>
        <v>0</v>
      </c>
      <c r="E412">
        <f t="shared" ref="E412" si="1513">IF($A412&gt;D$4,IF($A412&lt;=E$4,D$6+(E$6-D$6)*($A412-D$4)/(E$4-D$4),0),0)</f>
        <v>0</v>
      </c>
      <c r="F412">
        <f t="shared" ref="F412" si="1514">IF($A412&gt;E$4,IF($A412&lt;=F$4,E$6+(F$6-E$6)*($A412-E$4)/(F$4-E$4),0),0)</f>
        <v>0</v>
      </c>
      <c r="G412">
        <f t="shared" ref="G412" si="1515">IF($A412&gt;F$4,IF($A412&lt;=G$4,F$6+(G$6-F$6)*($A412-F$4)/(G$4-F$4),0),0)</f>
        <v>0</v>
      </c>
      <c r="H412">
        <f t="shared" ref="H412" si="1516">IF($A412&gt;G$4,IF($A412&lt;=H$4,G$6+(H$6-G$6)*($A412-G$4)/(H$4-G$4),0),0)</f>
        <v>4.2360158479424035</v>
      </c>
      <c r="I412">
        <f t="shared" ref="I412" si="1517">IF($A412&gt;H$4,IF($A412&lt;=I$4,H$6+(I$6-H$6)*($A412-H$4)/(I$4-H$4),0),0)</f>
        <v>0</v>
      </c>
      <c r="J412">
        <f t="shared" ref="J412" si="1518">IF($A412&gt;I$4,IF($A412&lt;=J$4,I$6+(J$6-I$6)*($A412-I$4)/(J$4-I$4),0),0)</f>
        <v>0</v>
      </c>
      <c r="K412">
        <f t="shared" ref="K412" si="1519">IF($A412&gt;J$4,IF($A412&lt;=K$4,J$6+(K$6-J$6)*($A412-J$4)/(K$4-J$4),0),0)</f>
        <v>0</v>
      </c>
      <c r="L412">
        <f>IF($A412&gt;K$4,IF($A412&lt;=L$4,K$6+(L$6-K$6)*($A412-K$4)/(L$4-K$4),L$6),0)</f>
        <v>0</v>
      </c>
      <c r="M412" s="34">
        <f t="shared" si="1486"/>
        <v>4.2360158479424035</v>
      </c>
    </row>
    <row r="413" spans="1:13" x14ac:dyDescent="0.25">
      <c r="A413" s="57" t="s">
        <v>83</v>
      </c>
      <c r="B413" t="s">
        <v>71</v>
      </c>
      <c r="C413">
        <f>IF($A414&lt;=C$4,C$5,0)</f>
        <v>0</v>
      </c>
      <c r="D413">
        <f>IF($A414&gt;C$4,IF($A414&lt;=D$4,C$5+(D$5-C$5)*($A414-C$4)/(D$4-C$4),0),0)</f>
        <v>0</v>
      </c>
      <c r="E413">
        <f>IF($A414&gt;D$4,IF($A414&lt;=E$4,D$5+(E$5-D$5)*($A414-D$4)/(E$4-D$4),0),0)</f>
        <v>0</v>
      </c>
      <c r="F413">
        <f t="shared" ref="F413" si="1520">IF($A414&gt;E$4,IF($A414&lt;=F$4,E$5+(F$5-E$5)*($A414-E$4)/(F$4-E$4),0),0)</f>
        <v>0</v>
      </c>
      <c r="G413">
        <f t="shared" ref="G413" si="1521">IF($A414&gt;F$4,IF($A414&lt;=G$4,F$5+(G$5-F$5)*($A414-F$4)/(G$4-F$4),0),0)</f>
        <v>0</v>
      </c>
      <c r="H413">
        <f t="shared" ref="H413" si="1522">IF($A414&gt;G$4,IF($A414&lt;=H$4,G$5+(H$5-G$5)*($A414-G$4)/(H$4-G$4),0),0)</f>
        <v>0</v>
      </c>
      <c r="I413">
        <f t="shared" ref="I413" si="1523">IF($A414&gt;H$4,IF($A414&lt;=I$4,H$5+(I$5-H$5)*($A414-H$4)/(I$4-H$4),0),0)</f>
        <v>12</v>
      </c>
      <c r="J413">
        <f t="shared" ref="J413" si="1524">IF($A414&gt;I$4,IF($A414&lt;=J$4,I$5+(J$5-I$5)*($A414-I$4)/(J$4-I$4),0),0)</f>
        <v>0</v>
      </c>
      <c r="K413">
        <f t="shared" ref="K413" si="1525">IF($A414&gt;J$4,IF($A414&lt;=K$4,J$5+(K$5-J$5)*($A414-J$4)/(K$4-J$4),0),0)</f>
        <v>0</v>
      </c>
      <c r="L413">
        <f>IF($A414&gt;K$4,IF($A414&lt;=L$4,K$5+(L$5-K$5)*($A414-K$4)/(L$4-K$4),L$5),0)</f>
        <v>0</v>
      </c>
      <c r="M413" s="32">
        <f t="shared" si="1486"/>
        <v>12</v>
      </c>
    </row>
    <row r="414" spans="1:13" ht="15.75" thickBot="1" x14ac:dyDescent="0.3">
      <c r="A414">
        <f>F405</f>
        <v>2.4313578621908629</v>
      </c>
      <c r="B414" t="s">
        <v>72</v>
      </c>
      <c r="C414">
        <f>IF($A414&lt;=C$4,C$6,0)</f>
        <v>0</v>
      </c>
      <c r="D414">
        <f>IF($A414&gt;C$4,IF($A414&lt;=D$4,C$6+(D$6-C$6)*($A414-C$4)/(D$4-C$4),0),0)</f>
        <v>0</v>
      </c>
      <c r="E414">
        <f t="shared" ref="E414" si="1526">IF($A414&gt;D$4,IF($A414&lt;=E$4,D$6+(E$6-D$6)*($A414-D$4)/(E$4-D$4),0),0)</f>
        <v>0</v>
      </c>
      <c r="F414">
        <f t="shared" ref="F414" si="1527">IF($A414&gt;E$4,IF($A414&lt;=F$4,E$6+(F$6-E$6)*($A414-E$4)/(F$4-E$4),0),0)</f>
        <v>0</v>
      </c>
      <c r="G414">
        <f t="shared" ref="G414" si="1528">IF($A414&gt;F$4,IF($A414&lt;=G$4,F$6+(G$6-F$6)*($A414-F$4)/(G$4-F$4),0),0)</f>
        <v>0</v>
      </c>
      <c r="H414">
        <f t="shared" ref="H414" si="1529">IF($A414&gt;G$4,IF($A414&lt;=H$4,G$6+(H$6-G$6)*($A414-G$4)/(H$4-G$4),0),0)</f>
        <v>0</v>
      </c>
      <c r="I414">
        <f t="shared" ref="I414" si="1530">IF($A414&gt;H$4,IF($A414&lt;=I$4,H$6+(I$6-H$6)*($A414-H$4)/(I$4-H$4),0),0)</f>
        <v>4.8320367932862949</v>
      </c>
      <c r="J414">
        <f t="shared" ref="J414" si="1531">IF($A414&gt;I$4,IF($A414&lt;=J$4,I$6+(J$6-I$6)*($A414-I$4)/(J$4-I$4),0),0)</f>
        <v>0</v>
      </c>
      <c r="K414">
        <f t="shared" ref="K414" si="1532">IF($A414&gt;J$4,IF($A414&lt;=K$4,J$6+(K$6-J$6)*($A414-J$4)/(K$4-J$4),0),0)</f>
        <v>0</v>
      </c>
      <c r="L414">
        <f>IF($A414&gt;K$4,IF($A414&lt;=L$4,K$6+(L$6-K$6)*($A414-K$4)/(L$4-K$4),L$6),0)</f>
        <v>0</v>
      </c>
      <c r="M414" s="34">
        <f t="shared" si="1486"/>
        <v>4.8320367932862949</v>
      </c>
    </row>
    <row r="415" spans="1:13" x14ac:dyDescent="0.25">
      <c r="A415" s="57" t="s">
        <v>84</v>
      </c>
      <c r="B415" t="s">
        <v>71</v>
      </c>
      <c r="C415">
        <f>IF($A416&lt;=C$4,C$5,0)</f>
        <v>0</v>
      </c>
      <c r="D415">
        <f>IF($A416&gt;C$4,IF($A416&lt;=D$4,C$5+(D$5-C$5)*($A416-C$4)/(D$4-C$4),0),0)</f>
        <v>0</v>
      </c>
      <c r="E415">
        <f>IF($A416&gt;D$4,IF($A416&lt;=E$4,D$5+(E$5-D$5)*($A416-D$4)/(E$4-D$4),0),0)</f>
        <v>0</v>
      </c>
      <c r="F415">
        <f t="shared" ref="F415" si="1533">IF($A416&gt;E$4,IF($A416&lt;=F$4,E$5+(F$5-E$5)*($A416-E$4)/(F$4-E$4),0),0)</f>
        <v>0</v>
      </c>
      <c r="G415">
        <f t="shared" ref="G415" si="1534">IF($A416&gt;F$4,IF($A416&lt;=G$4,F$5+(G$5-F$5)*($A416-F$4)/(G$4-F$4),0),0)</f>
        <v>0</v>
      </c>
      <c r="H415">
        <f t="shared" ref="H415" si="1535">IF($A416&gt;G$4,IF($A416&lt;=H$4,G$5+(H$5-G$5)*($A416-G$4)/(H$4-G$4),0),0)</f>
        <v>0</v>
      </c>
      <c r="I415">
        <f t="shared" ref="I415" si="1536">IF($A416&gt;H$4,IF($A416&lt;=I$4,H$5+(I$5-H$5)*($A416-H$4)/(I$4-H$4),0),0)</f>
        <v>0</v>
      </c>
      <c r="J415">
        <f t="shared" ref="J415" si="1537">IF($A416&gt;I$4,IF($A416&lt;=J$4,I$5+(J$5-I$5)*($A416-I$4)/(J$4-I$4),0),0)</f>
        <v>11.97664452139974</v>
      </c>
      <c r="K415">
        <f t="shared" ref="K415" si="1538">IF($A416&gt;J$4,IF($A416&lt;=K$4,J$5+(K$5-J$5)*($A416-J$4)/(K$4-J$4),0),0)</f>
        <v>0</v>
      </c>
      <c r="L415">
        <f>IF($A416&gt;K$4,IF($A416&lt;=L$4,K$5+(L$5-K$5)*($A416-K$4)/(L$4-K$4),L$5),0)</f>
        <v>0</v>
      </c>
      <c r="M415" s="32">
        <f t="shared" si="1486"/>
        <v>11.97664452139974</v>
      </c>
    </row>
    <row r="416" spans="1:13" ht="15.75" thickBot="1" x14ac:dyDescent="0.3">
      <c r="A416">
        <f>G405</f>
        <v>3.0412192381425704</v>
      </c>
      <c r="B416" t="s">
        <v>72</v>
      </c>
      <c r="C416">
        <f>IF($A416&lt;=C$4,C$6,0)</f>
        <v>0</v>
      </c>
      <c r="D416">
        <f>IF($A416&gt;C$4,IF($A416&lt;=D$4,C$6+(D$6-C$6)*($A416-C$4)/(D$4-C$4),0),0)</f>
        <v>0</v>
      </c>
      <c r="E416">
        <f t="shared" ref="E416" si="1539">IF($A416&gt;D$4,IF($A416&lt;=E$4,D$6+(E$6-D$6)*($A416-D$4)/(E$4-D$4),0),0)</f>
        <v>0</v>
      </c>
      <c r="F416">
        <f t="shared" ref="F416" si="1540">IF($A416&gt;E$4,IF($A416&lt;=F$4,E$6+(F$6-E$6)*($A416-E$4)/(F$4-E$4),0),0)</f>
        <v>0</v>
      </c>
      <c r="G416">
        <f t="shared" ref="G416" si="1541">IF($A416&gt;F$4,IF($A416&lt;=G$4,F$6+(G$6-F$6)*($A416-F$4)/(G$4-F$4),0),0)</f>
        <v>0</v>
      </c>
      <c r="H416">
        <f t="shared" ref="H416" si="1542">IF($A416&gt;G$4,IF($A416&lt;=H$4,G$6+(H$6-G$6)*($A416-G$4)/(H$4-G$4),0),0)</f>
        <v>0</v>
      </c>
      <c r="I416">
        <f t="shared" ref="I416" si="1543">IF($A416&gt;H$4,IF($A416&lt;=I$4,H$6+(I$6-H$6)*($A416-H$4)/(I$4-H$4),0),0)</f>
        <v>0</v>
      </c>
      <c r="J416">
        <f t="shared" ref="J416" si="1544">IF($A416&gt;I$4,IF($A416&lt;=J$4,I$6+(J$6-I$6)*($A416-I$4)/(J$4-I$4),0),0)</f>
        <v>5.6335547860025965</v>
      </c>
      <c r="K416">
        <f t="shared" ref="K416" si="1545">IF($A416&gt;J$4,IF($A416&lt;=K$4,J$6+(K$6-J$6)*($A416-J$4)/(K$4-J$4),0),0)</f>
        <v>0</v>
      </c>
      <c r="L416">
        <f>IF($A416&gt;K$4,IF($A416&lt;=L$4,K$6+(L$6-K$6)*($A416-K$4)/(L$4-K$4),L$6),0)</f>
        <v>0</v>
      </c>
      <c r="M416" s="34">
        <f t="shared" si="1486"/>
        <v>5.6335547860025965</v>
      </c>
    </row>
    <row r="417" spans="1:13" x14ac:dyDescent="0.25">
      <c r="A417" s="57" t="s">
        <v>85</v>
      </c>
      <c r="B417" t="s">
        <v>71</v>
      </c>
      <c r="C417">
        <f>IF($A418&lt;=C$4,C$5,0)</f>
        <v>0</v>
      </c>
      <c r="D417">
        <f>IF($A418&gt;C$4,IF($A418&lt;=D$4,C$5+(D$5-C$5)*($A418-C$4)/(D$4-C$4),0),0)</f>
        <v>0</v>
      </c>
      <c r="E417">
        <f>IF($A418&gt;D$4,IF($A418&lt;=E$4,D$5+(E$5-D$5)*($A418-D$4)/(E$4-D$4),0),0)</f>
        <v>0</v>
      </c>
      <c r="F417">
        <f t="shared" ref="F417" si="1546">IF($A418&gt;E$4,IF($A418&lt;=F$4,E$5+(F$5-E$5)*($A418-E$4)/(F$4-E$4),0),0)</f>
        <v>0</v>
      </c>
      <c r="G417">
        <f t="shared" ref="G417" si="1547">IF($A418&gt;F$4,IF($A418&lt;=G$4,F$5+(G$5-F$5)*($A418-F$4)/(G$4-F$4),0),0)</f>
        <v>0</v>
      </c>
      <c r="H417">
        <f t="shared" ref="H417" si="1548">IF($A418&gt;G$4,IF($A418&lt;=H$4,G$5+(H$5-G$5)*($A418-G$4)/(H$4-G$4),0),0)</f>
        <v>0</v>
      </c>
      <c r="I417">
        <f t="shared" ref="I417" si="1549">IF($A418&gt;H$4,IF($A418&lt;=I$4,H$5+(I$5-H$5)*($A418-H$4)/(I$4-H$4),0),0)</f>
        <v>0</v>
      </c>
      <c r="J417">
        <f t="shared" ref="J417" si="1550">IF($A418&gt;I$4,IF($A418&lt;=J$4,I$5+(J$5-I$5)*($A418-I$4)/(J$4-I$4),0),0)</f>
        <v>11.903226613662595</v>
      </c>
      <c r="K417">
        <f t="shared" ref="K417" si="1551">IF($A418&gt;J$4,IF($A418&lt;=K$4,J$5+(K$5-J$5)*($A418-J$4)/(K$4-J$4),0),0)</f>
        <v>0</v>
      </c>
      <c r="L417">
        <f>IF($A418&gt;K$4,IF($A418&lt;=L$4,K$5+(L$5-K$5)*($A418-K$4)/(L$4-K$4),L$5),0)</f>
        <v>0</v>
      </c>
      <c r="M417" s="32">
        <f t="shared" si="1486"/>
        <v>11.903226613662595</v>
      </c>
    </row>
    <row r="418" spans="1:13" ht="15.75" thickBot="1" x14ac:dyDescent="0.3">
      <c r="A418">
        <f>H405</f>
        <v>3.7680565247403224</v>
      </c>
      <c r="B418" t="s">
        <v>72</v>
      </c>
      <c r="C418">
        <f>IF($A418&lt;=C$4,C$6,0)</f>
        <v>0</v>
      </c>
      <c r="D418">
        <f>IF($A418&gt;C$4,IF($A418&lt;=D$4,C$6+(D$6-C$6)*($A418-C$4)/(D$4-C$4),0),0)</f>
        <v>0</v>
      </c>
      <c r="E418">
        <f t="shared" ref="E418" si="1552">IF($A418&gt;D$4,IF($A418&lt;=E$4,D$6+(E$6-D$6)*($A418-D$4)/(E$4-D$4),0),0)</f>
        <v>0</v>
      </c>
      <c r="F418">
        <f t="shared" ref="F418" si="1553">IF($A418&gt;E$4,IF($A418&lt;=F$4,E$6+(F$6-E$6)*($A418-E$4)/(F$4-E$4),0),0)</f>
        <v>0</v>
      </c>
      <c r="G418">
        <f t="shared" ref="G418" si="1554">IF($A418&gt;F$4,IF($A418&lt;=G$4,F$6+(G$6-F$6)*($A418-F$4)/(G$4-F$4),0),0)</f>
        <v>0</v>
      </c>
      <c r="H418">
        <f t="shared" ref="H418" si="1555">IF($A418&gt;G$4,IF($A418&lt;=H$4,G$6+(H$6-G$6)*($A418-G$4)/(H$4-G$4),0),0)</f>
        <v>0</v>
      </c>
      <c r="I418">
        <f t="shared" ref="I418" si="1556">IF($A418&gt;H$4,IF($A418&lt;=I$4,H$6+(I$6-H$6)*($A418-H$4)/(I$4-H$4),0),0)</f>
        <v>0</v>
      </c>
      <c r="J418">
        <f t="shared" ref="J418" si="1557">IF($A418&gt;I$4,IF($A418&lt;=J$4,I$6+(J$6-I$6)*($A418-I$4)/(J$4-I$4),0),0)</f>
        <v>6.3677338633740632</v>
      </c>
      <c r="K418">
        <f t="shared" ref="K418" si="1558">IF($A418&gt;J$4,IF($A418&lt;=K$4,J$6+(K$6-J$6)*($A418-J$4)/(K$4-J$4),0),0)</f>
        <v>0</v>
      </c>
      <c r="L418">
        <f>IF($A418&gt;K$4,IF($A418&lt;=L$4,K$6+(L$6-K$6)*($A418-K$4)/(L$4-K$4),L$6),0)</f>
        <v>0</v>
      </c>
      <c r="M418" s="34">
        <f t="shared" si="1486"/>
        <v>6.3677338633740632</v>
      </c>
    </row>
    <row r="419" spans="1:13" x14ac:dyDescent="0.25">
      <c r="A419" s="57" t="s">
        <v>86</v>
      </c>
      <c r="B419" t="s">
        <v>71</v>
      </c>
      <c r="C419">
        <f>IF($A420&lt;=C$4,C$5,0)</f>
        <v>0</v>
      </c>
      <c r="D419">
        <f>IF($A420&gt;C$4,IF($A420&lt;=D$4,C$5+(D$5-C$5)*($A420-C$4)/(D$4-C$4),0),0)</f>
        <v>0</v>
      </c>
      <c r="E419">
        <f>IF($A420&gt;D$4,IF($A420&lt;=E$4,D$5+(E$5-D$5)*($A420-D$4)/(E$4-D$4),0),0)</f>
        <v>0</v>
      </c>
      <c r="F419">
        <f t="shared" ref="F419" si="1559">IF($A420&gt;E$4,IF($A420&lt;=F$4,E$5+(F$5-E$5)*($A420-E$4)/(F$4-E$4),0),0)</f>
        <v>0</v>
      </c>
      <c r="G419">
        <f t="shared" ref="G419" si="1560">IF($A420&gt;F$4,IF($A420&lt;=G$4,F$5+(G$5-F$5)*($A420-F$4)/(G$4-F$4),0),0)</f>
        <v>0</v>
      </c>
      <c r="H419">
        <f t="shared" ref="H419" si="1561">IF($A420&gt;G$4,IF($A420&lt;=H$4,G$5+(H$5-G$5)*($A420-G$4)/(H$4-G$4),0),0)</f>
        <v>0</v>
      </c>
      <c r="I419">
        <f t="shared" ref="I419" si="1562">IF($A420&gt;H$4,IF($A420&lt;=I$4,H$5+(I$5-H$5)*($A420-H$4)/(I$4-H$4),0),0)</f>
        <v>0</v>
      </c>
      <c r="J419">
        <f t="shared" ref="J419" si="1563">IF($A420&gt;I$4,IF($A420&lt;=J$4,I$5+(J$5-I$5)*($A420-I$4)/(J$4-I$4),0),0)</f>
        <v>0</v>
      </c>
      <c r="K419">
        <f t="shared" ref="K419" si="1564">IF($A420&gt;J$4,IF($A420&lt;=K$4,J$5+(K$5-J$5)*($A420-J$4)/(K$4-J$4),0),0)</f>
        <v>11.822880818466379</v>
      </c>
      <c r="L419">
        <f>IF($A420&gt;K$4,IF($A420&lt;=L$4,K$5+(L$5-K$5)*($A420-K$4)/(L$4-K$4),L$5),0)</f>
        <v>0</v>
      </c>
      <c r="M419" s="32">
        <f t="shared" si="1486"/>
        <v>11.822880818466379</v>
      </c>
    </row>
    <row r="420" spans="1:13" ht="15.75" thickBot="1" x14ac:dyDescent="0.3">
      <c r="A420">
        <f>I405</f>
        <v>4.6560229150232102</v>
      </c>
      <c r="B420" t="s">
        <v>72</v>
      </c>
      <c r="C420">
        <f>IF($A420&lt;=C$4,C$6,0)</f>
        <v>0</v>
      </c>
      <c r="D420">
        <f>IF($A420&gt;C$4,IF($A420&lt;=D$4,C$6+(D$6-C$6)*($A420-C$4)/(D$4-C$4),0),0)</f>
        <v>0</v>
      </c>
      <c r="E420">
        <f t="shared" ref="E420" si="1565">IF($A420&gt;D$4,IF($A420&lt;=E$4,D$6+(E$6-D$6)*($A420-D$4)/(E$4-D$4),0),0)</f>
        <v>0</v>
      </c>
      <c r="F420">
        <f t="shared" ref="F420" si="1566">IF($A420&gt;E$4,IF($A420&lt;=F$4,E$6+(F$6-E$6)*($A420-E$4)/(F$4-E$4),0),0)</f>
        <v>0</v>
      </c>
      <c r="G420">
        <f t="shared" ref="G420" si="1567">IF($A420&gt;F$4,IF($A420&lt;=G$4,F$6+(G$6-F$6)*($A420-F$4)/(G$4-F$4),0),0)</f>
        <v>0</v>
      </c>
      <c r="H420">
        <f t="shared" ref="H420" si="1568">IF($A420&gt;G$4,IF($A420&lt;=H$4,G$6+(H$6-G$6)*($A420-G$4)/(H$4-G$4),0),0)</f>
        <v>0</v>
      </c>
      <c r="I420">
        <f t="shared" ref="I420" si="1569">IF($A420&gt;H$4,IF($A420&lt;=I$4,H$6+(I$6-H$6)*($A420-H$4)/(I$4-H$4),0),0)</f>
        <v>0</v>
      </c>
      <c r="J420">
        <f t="shared" ref="J420" si="1570">IF($A420&gt;I$4,IF($A420&lt;=J$4,I$6+(J$6-I$6)*($A420-I$4)/(J$4-I$4),0),0)</f>
        <v>0</v>
      </c>
      <c r="K420">
        <f t="shared" ref="K420" si="1571">IF($A420&gt;J$4,IF($A420&lt;=K$4,J$6+(K$6-J$6)*($A420-J$4)/(K$4-J$4),0),0)</f>
        <v>8.5978966737082416</v>
      </c>
      <c r="L420">
        <f>IF($A420&gt;K$4,IF($A420&lt;=L$4,K$6+(L$6-K$6)*($A420-K$4)/(L$4-K$4),L$6),0)</f>
        <v>0</v>
      </c>
      <c r="M420" s="34">
        <f t="shared" si="1486"/>
        <v>8.5978966737082416</v>
      </c>
    </row>
    <row r="421" spans="1:13" x14ac:dyDescent="0.25">
      <c r="A421" s="57" t="s">
        <v>87</v>
      </c>
      <c r="B421" t="s">
        <v>71</v>
      </c>
      <c r="C421">
        <f>IF($A422&lt;=C$4,C$5,0)</f>
        <v>0</v>
      </c>
      <c r="D421">
        <f>IF($A422&gt;C$4,IF($A422&lt;=D$4,C$5+(D$5-C$5)*($A422-C$4)/(D$4-C$4),0),0)</f>
        <v>0</v>
      </c>
      <c r="E421">
        <f>IF($A422&gt;D$4,IF($A422&lt;=E$4,D$5+(E$5-D$5)*($A422-D$4)/(E$4-D$4),0),0)</f>
        <v>0</v>
      </c>
      <c r="F421">
        <f t="shared" ref="F421" si="1572">IF($A422&gt;E$4,IF($A422&lt;=F$4,E$5+(F$5-E$5)*($A422-E$4)/(F$4-E$4),0),0)</f>
        <v>0</v>
      </c>
      <c r="G421">
        <f t="shared" ref="G421" si="1573">IF($A422&gt;F$4,IF($A422&lt;=G$4,F$5+(G$5-F$5)*($A422-F$4)/(G$4-F$4),0),0)</f>
        <v>0</v>
      </c>
      <c r="H421">
        <f t="shared" ref="H421" si="1574">IF($A422&gt;G$4,IF($A422&lt;=H$4,G$5+(H$5-G$5)*($A422-G$4)/(H$4-G$4),0),0)</f>
        <v>0</v>
      </c>
      <c r="I421">
        <f t="shared" ref="I421" si="1575">IF($A422&gt;H$4,IF($A422&lt;=I$4,H$5+(I$5-H$5)*($A422-H$4)/(I$4-H$4),0),0)</f>
        <v>0</v>
      </c>
      <c r="J421">
        <f t="shared" ref="J421" si="1576">IF($A422&gt;I$4,IF($A422&lt;=J$4,I$5+(J$5-I$5)*($A422-I$4)/(J$4-I$4),0),0)</f>
        <v>0</v>
      </c>
      <c r="K421">
        <f t="shared" ref="K421" si="1577">IF($A422&gt;J$4,IF($A422&lt;=K$4,J$5+(K$5-J$5)*($A422-J$4)/(K$4-J$4),0),0)</f>
        <v>0</v>
      </c>
      <c r="L421">
        <f>IF($A422&gt;K$4,IF($A422&lt;=L$4,K$5+(L$5-K$5)*($A422-K$4)/(L$4-K$4),L$5),0)</f>
        <v>11.769539592005669</v>
      </c>
      <c r="M421" s="32">
        <f t="shared" si="1486"/>
        <v>11.769539592005669</v>
      </c>
    </row>
    <row r="422" spans="1:13" ht="15.75" thickBot="1" x14ac:dyDescent="0.3">
      <c r="A422">
        <f>J405</f>
        <v>5.7659374646406771</v>
      </c>
      <c r="B422" t="s">
        <v>72</v>
      </c>
      <c r="C422">
        <f>IF($A422&lt;=C$4,C$6,0)</f>
        <v>0</v>
      </c>
      <c r="D422">
        <f>IF($A422&gt;C$4,IF($A422&lt;=D$4,C$6+(D$6-C$6)*($A422-C$4)/(D$4-C$4),0),0)</f>
        <v>0</v>
      </c>
      <c r="E422">
        <f t="shared" ref="E422" si="1578">IF($A422&gt;D$4,IF($A422&lt;=E$4,D$6+(E$6-D$6)*($A422-D$4)/(E$4-D$4),0),0)</f>
        <v>0</v>
      </c>
      <c r="F422">
        <f t="shared" ref="F422" si="1579">IF($A422&gt;E$4,IF($A422&lt;=F$4,E$6+(F$6-E$6)*($A422-E$4)/(F$4-E$4),0),0)</f>
        <v>0</v>
      </c>
      <c r="G422">
        <f t="shared" ref="G422" si="1580">IF($A422&gt;F$4,IF($A422&lt;=G$4,F$6+(G$6-F$6)*($A422-F$4)/(G$4-F$4),0),0)</f>
        <v>0</v>
      </c>
      <c r="H422">
        <f t="shared" ref="H422" si="1581">IF($A422&gt;G$4,IF($A422&lt;=H$4,G$6+(H$6-G$6)*($A422-G$4)/(H$4-G$4),0),0)</f>
        <v>0</v>
      </c>
      <c r="I422">
        <f t="shared" ref="I422" si="1582">IF($A422&gt;H$4,IF($A422&lt;=I$4,H$6+(I$6-H$6)*($A422-H$4)/(I$4-H$4),0),0)</f>
        <v>0</v>
      </c>
      <c r="J422">
        <f t="shared" ref="J422" si="1583">IF($A422&gt;I$4,IF($A422&lt;=J$4,I$6+(J$6-I$6)*($A422-I$4)/(J$4-I$4),0),0)</f>
        <v>0</v>
      </c>
      <c r="K422">
        <f t="shared" ref="K422" si="1584">IF($A422&gt;J$4,IF($A422&lt;=K$4,J$6+(K$6-J$6)*($A422-J$4)/(K$4-J$4),0),0)</f>
        <v>0</v>
      </c>
      <c r="L422">
        <f>IF($A422&gt;K$4,IF($A422&lt;=L$4,K$6+(L$6-K$6)*($A422-K$4)/(L$4-K$4),L$6),0)</f>
        <v>10.575027747753362</v>
      </c>
      <c r="M422" s="34">
        <f t="shared" si="1486"/>
        <v>10.575027747753362</v>
      </c>
    </row>
    <row r="423" spans="1:13" x14ac:dyDescent="0.25">
      <c r="A423" s="57" t="s">
        <v>88</v>
      </c>
      <c r="B423" t="s">
        <v>71</v>
      </c>
      <c r="C423">
        <f>IF($A424&lt;=C$4,C$5,0)</f>
        <v>0</v>
      </c>
      <c r="D423">
        <f>IF($A424&gt;C$4,IF($A424&lt;=D$4,C$5+(D$5-C$5)*($A424-C$4)/(D$4-C$4),0),0)</f>
        <v>0</v>
      </c>
      <c r="E423">
        <f>IF($A424&gt;D$4,IF($A424&lt;=E$4,D$5+(E$5-D$5)*($A424-D$4)/(E$4-D$4),0),0)</f>
        <v>0</v>
      </c>
      <c r="F423">
        <f t="shared" ref="F423" si="1585">IF($A424&gt;E$4,IF($A424&lt;=F$4,E$5+(F$5-E$5)*($A424-E$4)/(F$4-E$4),0),0)</f>
        <v>0</v>
      </c>
      <c r="G423">
        <f t="shared" ref="G423" si="1586">IF($A424&gt;F$4,IF($A424&lt;=G$4,F$5+(G$5-F$5)*($A424-F$4)/(G$4-F$4),0),0)</f>
        <v>0</v>
      </c>
      <c r="H423">
        <f t="shared" ref="H423" si="1587">IF($A424&gt;G$4,IF($A424&lt;=H$4,G$5+(H$5-G$5)*($A424-G$4)/(H$4-G$4),0),0)</f>
        <v>0</v>
      </c>
      <c r="I423">
        <f t="shared" ref="I423" si="1588">IF($A424&gt;H$4,IF($A424&lt;=I$4,H$5+(I$5-H$5)*($A424-H$4)/(I$4-H$4),0),0)</f>
        <v>0</v>
      </c>
      <c r="J423">
        <f t="shared" ref="J423" si="1589">IF($A424&gt;I$4,IF($A424&lt;=J$4,I$5+(J$5-I$5)*($A424-I$4)/(J$4-I$4),0),0)</f>
        <v>0</v>
      </c>
      <c r="K423">
        <f t="shared" ref="K423" si="1590">IF($A424&gt;J$4,IF($A424&lt;=K$4,J$5+(K$5-J$5)*($A424-J$4)/(K$4-J$4),0),0)</f>
        <v>0</v>
      </c>
      <c r="L423">
        <f>IF($A424&gt;K$4,IF($A424&lt;=L$4,K$5+(L$5-K$5)*($A424-K$4)/(L$4-K$4),L$5),0)</f>
        <v>11.719161006681654</v>
      </c>
      <c r="M423" s="32">
        <f t="shared" si="1486"/>
        <v>11.719161006681654</v>
      </c>
    </row>
    <row r="424" spans="1:13" ht="15.75" thickBot="1" x14ac:dyDescent="0.3">
      <c r="A424">
        <f>K405</f>
        <v>7.1815757122454889</v>
      </c>
      <c r="B424" t="s">
        <v>72</v>
      </c>
      <c r="C424">
        <f>IF($A424&lt;=C$4,C$6,0)</f>
        <v>0</v>
      </c>
      <c r="D424">
        <f>IF($A424&gt;C$4,IF($A424&lt;=D$4,C$6+(D$6-C$6)*($A424-C$4)/(D$4-C$4),0),0)</f>
        <v>0</v>
      </c>
      <c r="E424">
        <f t="shared" ref="E424" si="1591">IF($A424&gt;D$4,IF($A424&lt;=E$4,D$6+(E$6-D$6)*($A424-D$4)/(E$4-D$4),0),0)</f>
        <v>0</v>
      </c>
      <c r="F424">
        <f t="shared" ref="F424" si="1592">IF($A424&gt;E$4,IF($A424&lt;=F$4,E$6+(F$6-E$6)*($A424-E$4)/(F$4-E$4),0),0)</f>
        <v>0</v>
      </c>
      <c r="G424">
        <f t="shared" ref="G424" si="1593">IF($A424&gt;F$4,IF($A424&lt;=G$4,F$6+(G$6-F$6)*($A424-F$4)/(G$4-F$4),0),0)</f>
        <v>0</v>
      </c>
      <c r="H424">
        <f t="shared" ref="H424" si="1594">IF($A424&gt;G$4,IF($A424&lt;=H$4,G$6+(H$6-G$6)*($A424-G$4)/(H$4-G$4),0),0)</f>
        <v>0</v>
      </c>
      <c r="I424">
        <f t="shared" ref="I424" si="1595">IF($A424&gt;H$4,IF($A424&lt;=I$4,H$6+(I$6-H$6)*($A424-H$4)/(I$4-H$4),0),0)</f>
        <v>0</v>
      </c>
      <c r="J424">
        <f t="shared" ref="J424" si="1596">IF($A424&gt;I$4,IF($A424&lt;=J$4,I$6+(J$6-I$6)*($A424-I$4)/(J$4-I$4),0),0)</f>
        <v>0</v>
      </c>
      <c r="K424">
        <f t="shared" ref="K424" si="1597">IF($A424&gt;J$4,IF($A424&lt;=K$4,J$6+(K$6-J$6)*($A424-J$4)/(K$4-J$4),0),0)</f>
        <v>0</v>
      </c>
      <c r="L424">
        <f>IF($A424&gt;K$4,IF($A424&lt;=L$4,K$6+(L$6-K$6)*($A424-K$4)/(L$4-K$4),L$6),0)</f>
        <v>12.766496209347999</v>
      </c>
      <c r="M424" s="34">
        <f t="shared" si="1486"/>
        <v>12.766496209347999</v>
      </c>
    </row>
    <row r="425" spans="1:13" x14ac:dyDescent="0.25">
      <c r="A425" s="57" t="s">
        <v>89</v>
      </c>
      <c r="B425" t="s">
        <v>71</v>
      </c>
      <c r="C425">
        <f>IF($A426&lt;=C$4,C$5,0)</f>
        <v>0</v>
      </c>
      <c r="D425">
        <f>IF($A426&gt;C$4,IF($A426&lt;=D$4,C$5+(D$5-C$5)*($A426-C$4)/(D$4-C$4),0),0)</f>
        <v>0</v>
      </c>
      <c r="E425">
        <f>IF($A426&gt;D$4,IF($A426&lt;=E$4,D$5+(E$5-D$5)*($A426-D$4)/(E$4-D$4),0),0)</f>
        <v>0</v>
      </c>
      <c r="F425">
        <f t="shared" ref="F425" si="1598">IF($A426&gt;E$4,IF($A426&lt;=F$4,E$5+(F$5-E$5)*($A426-E$4)/(F$4-E$4),0),0)</f>
        <v>0</v>
      </c>
      <c r="G425">
        <f t="shared" ref="G425" si="1599">IF($A426&gt;F$4,IF($A426&lt;=G$4,F$5+(G$5-F$5)*($A426-F$4)/(G$4-F$4),0),0)</f>
        <v>0</v>
      </c>
      <c r="H425">
        <f t="shared" ref="H425" si="1600">IF($A426&gt;G$4,IF($A426&lt;=H$4,G$5+(H$5-G$5)*($A426-G$4)/(H$4-G$4),0),0)</f>
        <v>0</v>
      </c>
      <c r="I425">
        <f t="shared" ref="I425" si="1601">IF($A426&gt;H$4,IF($A426&lt;=I$4,H$5+(I$5-H$5)*($A426-H$4)/(I$4-H$4),0),0)</f>
        <v>0</v>
      </c>
      <c r="J425">
        <f t="shared" ref="J425" si="1602">IF($A426&gt;I$4,IF($A426&lt;=J$4,I$5+(J$5-I$5)*($A426-I$4)/(J$4-I$4),0),0)</f>
        <v>0</v>
      </c>
      <c r="K425">
        <f t="shared" ref="K425" si="1603">IF($A426&gt;J$4,IF($A426&lt;=K$4,J$5+(K$5-J$5)*($A426-J$4)/(K$4-J$4),0),0)</f>
        <v>0</v>
      </c>
      <c r="L425">
        <f>IF($A426&gt;K$4,IF($A426&lt;=L$4,K$5+(L$5-K$5)*($A426-K$4)/(L$4-K$4),L$5),0)</f>
        <v>11.7</v>
      </c>
      <c r="M425" s="32">
        <f t="shared" si="1486"/>
        <v>11.7</v>
      </c>
    </row>
    <row r="426" spans="1:13" ht="15.75" thickBot="1" x14ac:dyDescent="0.3">
      <c r="A426">
        <f>L405</f>
        <v>9.018334728732917</v>
      </c>
      <c r="B426" t="s">
        <v>72</v>
      </c>
      <c r="C426">
        <f>IF($A426&lt;=C$4,C$6,0)</f>
        <v>0</v>
      </c>
      <c r="D426">
        <f>IF($A426&gt;C$4,IF($A426&lt;=D$4,C$6+(D$6-C$6)*($A426-C$4)/(D$4-C$4),0),0)</f>
        <v>0</v>
      </c>
      <c r="E426">
        <f t="shared" ref="E426" si="1604">IF($A426&gt;D$4,IF($A426&lt;=E$4,D$6+(E$6-D$6)*($A426-D$4)/(E$4-D$4),0),0)</f>
        <v>0</v>
      </c>
      <c r="F426">
        <f t="shared" ref="F426" si="1605">IF($A426&gt;E$4,IF($A426&lt;=F$4,E$6+(F$6-E$6)*($A426-E$4)/(F$4-E$4),0),0)</f>
        <v>0</v>
      </c>
      <c r="G426">
        <f t="shared" ref="G426" si="1606">IF($A426&gt;F$4,IF($A426&lt;=G$4,F$6+(G$6-F$6)*($A426-F$4)/(G$4-F$4),0),0)</f>
        <v>0</v>
      </c>
      <c r="H426">
        <f t="shared" ref="H426" si="1607">IF($A426&gt;G$4,IF($A426&lt;=H$4,G$6+(H$6-G$6)*($A426-G$4)/(H$4-G$4),0),0)</f>
        <v>0</v>
      </c>
      <c r="I426">
        <f t="shared" ref="I426" si="1608">IF($A426&gt;H$4,IF($A426&lt;=I$4,H$6+(I$6-H$6)*($A426-H$4)/(I$4-H$4),0),0)</f>
        <v>0</v>
      </c>
      <c r="J426">
        <f t="shared" ref="J426" si="1609">IF($A426&gt;I$4,IF($A426&lt;=J$4,I$6+(J$6-I$6)*($A426-I$4)/(J$4-I$4),0),0)</f>
        <v>0</v>
      </c>
      <c r="K426">
        <f t="shared" ref="K426" si="1610">IF($A426&gt;J$4,IF($A426&lt;=K$4,J$6+(K$6-J$6)*($A426-J$4)/(K$4-J$4),0),0)</f>
        <v>0</v>
      </c>
      <c r="L426">
        <f>IF($A426&gt;K$4,IF($A426&lt;=L$4,K$6+(L$6-K$6)*($A426-K$4)/(L$4-K$4),L$6),0)</f>
        <v>13.6</v>
      </c>
      <c r="M426" s="34">
        <f t="shared" si="1486"/>
        <v>13.6</v>
      </c>
    </row>
    <row r="428" spans="1:13" x14ac:dyDescent="0.25">
      <c r="B428" t="s">
        <v>90</v>
      </c>
    </row>
    <row r="429" spans="1:13" ht="15.75" thickBot="1" x14ac:dyDescent="0.3">
      <c r="C429" s="25">
        <v>1</v>
      </c>
      <c r="D429" s="25">
        <v>2</v>
      </c>
      <c r="E429" s="25">
        <v>3</v>
      </c>
      <c r="F429" s="25">
        <v>4</v>
      </c>
      <c r="G429" s="25">
        <v>5</v>
      </c>
      <c r="H429" s="25">
        <v>6</v>
      </c>
      <c r="I429" s="25">
        <v>7</v>
      </c>
      <c r="J429" s="25">
        <v>8</v>
      </c>
      <c r="K429" s="25">
        <v>9</v>
      </c>
      <c r="L429" s="25">
        <v>10</v>
      </c>
    </row>
    <row r="430" spans="1:13" x14ac:dyDescent="0.25">
      <c r="B430" t="s">
        <v>71</v>
      </c>
      <c r="C430" s="58">
        <f>M407</f>
        <v>12.335583925425913</v>
      </c>
      <c r="D430" s="59">
        <f>M409</f>
        <v>12.185241733906205</v>
      </c>
      <c r="E430" s="59">
        <f>M411</f>
        <v>12.065996038014399</v>
      </c>
      <c r="F430" s="59">
        <f>M413</f>
        <v>12</v>
      </c>
      <c r="G430" s="59">
        <f>M415</f>
        <v>11.97664452139974</v>
      </c>
      <c r="H430" s="59">
        <f>M417</f>
        <v>11.903226613662595</v>
      </c>
      <c r="I430" s="59">
        <f>M419</f>
        <v>11.822880818466379</v>
      </c>
      <c r="J430" s="59">
        <f>M421</f>
        <v>11.769539592005669</v>
      </c>
      <c r="K430" s="59">
        <f>M423</f>
        <v>11.719161006681654</v>
      </c>
      <c r="L430" s="60">
        <f>M425</f>
        <v>11.7</v>
      </c>
    </row>
    <row r="431" spans="1:13" ht="15.75" thickBot="1" x14ac:dyDescent="0.3">
      <c r="B431" t="s">
        <v>72</v>
      </c>
      <c r="C431" s="52">
        <f>M408</f>
        <v>3.6288321491481739</v>
      </c>
      <c r="D431" s="53">
        <f t="shared" ref="D431" si="1611">M410</f>
        <v>3.92951653218759</v>
      </c>
      <c r="E431" s="53">
        <f>M412</f>
        <v>4.2360158479424035</v>
      </c>
      <c r="F431" s="53">
        <f>M414</f>
        <v>4.8320367932862949</v>
      </c>
      <c r="G431" s="53">
        <f>M416</f>
        <v>5.6335547860025965</v>
      </c>
      <c r="H431" s="53">
        <f>M418</f>
        <v>6.3677338633740632</v>
      </c>
      <c r="I431" s="53">
        <f>M420</f>
        <v>8.5978966737082416</v>
      </c>
      <c r="J431" s="53">
        <f>M422</f>
        <v>10.575027747753362</v>
      </c>
      <c r="K431" s="53">
        <f>M424</f>
        <v>12.766496209347999</v>
      </c>
      <c r="L431" s="54">
        <f>M426</f>
        <v>13.6</v>
      </c>
    </row>
    <row r="432" spans="1:13" x14ac:dyDescent="0.25">
      <c r="B432" t="s">
        <v>161</v>
      </c>
      <c r="C432">
        <f>100-C430-C431</f>
        <v>84.035583925425925</v>
      </c>
      <c r="D432">
        <f t="shared" ref="D432:L432" si="1612">100-D430-D431</f>
        <v>83.885241733906199</v>
      </c>
      <c r="E432">
        <f t="shared" si="1612"/>
        <v>83.697988114043198</v>
      </c>
      <c r="F432">
        <f t="shared" si="1612"/>
        <v>83.167963206713708</v>
      </c>
      <c r="G432">
        <f t="shared" si="1612"/>
        <v>82.389800692597674</v>
      </c>
      <c r="H432">
        <f t="shared" si="1612"/>
        <v>81.729039522963348</v>
      </c>
      <c r="I432">
        <f t="shared" si="1612"/>
        <v>79.579222507825392</v>
      </c>
      <c r="J432">
        <f t="shared" si="1612"/>
        <v>77.655432660240962</v>
      </c>
      <c r="K432">
        <f t="shared" si="1612"/>
        <v>75.514342783970335</v>
      </c>
      <c r="L432">
        <f t="shared" si="1612"/>
        <v>74.7</v>
      </c>
    </row>
    <row r="437" spans="1:13" ht="18.75" x14ac:dyDescent="0.3">
      <c r="B437" s="56">
        <v>2029</v>
      </c>
    </row>
    <row r="438" spans="1:13" x14ac:dyDescent="0.25">
      <c r="C438" s="25">
        <v>1</v>
      </c>
      <c r="D438" s="25">
        <v>2</v>
      </c>
      <c r="E438" s="25">
        <v>3</v>
      </c>
      <c r="F438" s="25">
        <v>4</v>
      </c>
      <c r="G438" s="25">
        <v>5</v>
      </c>
      <c r="H438" s="25">
        <v>6</v>
      </c>
      <c r="I438" s="25">
        <v>7</v>
      </c>
      <c r="J438" s="25">
        <v>8</v>
      </c>
      <c r="K438" s="25">
        <v>9</v>
      </c>
      <c r="L438" s="25">
        <v>10</v>
      </c>
    </row>
    <row r="439" spans="1:13" x14ac:dyDescent="0.25">
      <c r="B439" t="s">
        <v>79</v>
      </c>
      <c r="C439" s="8">
        <f>INDEX(decdoh2029,'матрица расходов'!C438)/расслоение!$M$445</f>
        <v>1.0474385635421761</v>
      </c>
      <c r="D439" s="8">
        <f>INDEX(decdoh2029,'матрица расходов'!D438)/расслоение!$M$445</f>
        <v>1.4738905338586472</v>
      </c>
      <c r="E439" s="8">
        <f>INDEX(decdoh2029,'матрица расходов'!E438)/расслоение!$M$445</f>
        <v>1.9453051648373281</v>
      </c>
      <c r="F439" s="8">
        <f>INDEX(decdoh2029,'матрица расходов'!F438)/расслоение!$M$445</f>
        <v>2.4786538570409964</v>
      </c>
      <c r="G439" s="8">
        <f>INDEX(decdoh2029,'матрица расходов'!G438)/расслоение!$M$445</f>
        <v>3.0973139583856368</v>
      </c>
      <c r="H439" s="8">
        <f>INDEX(decdoh2029,'матрица расходов'!H438)/расслоение!$M$445</f>
        <v>3.8334867237743744</v>
      </c>
      <c r="I439" s="8">
        <f>INDEX(decdoh2029,'матрица расходов'!I438)/расслоение!$M$445</f>
        <v>4.7315279467327391</v>
      </c>
      <c r="J439" s="8">
        <f>INDEX(decdoh2029,'матрица расходов'!J438)/расслоение!$M$445</f>
        <v>5.8525357560510063</v>
      </c>
      <c r="K439" s="8">
        <f>INDEX(decdoh2029,'матрица расходов'!K438)/расслоение!$M$445</f>
        <v>7.2806701011960806</v>
      </c>
      <c r="L439" s="8">
        <f>INDEX(decdoh2029,'матрица расходов'!L438)/расслоение!$M$445</f>
        <v>9.1318575618277791</v>
      </c>
    </row>
    <row r="440" spans="1:13" ht="15.75" thickBot="1" x14ac:dyDescent="0.3"/>
    <row r="441" spans="1:13" x14ac:dyDescent="0.25">
      <c r="A441" s="57" t="s">
        <v>80</v>
      </c>
      <c r="B441" t="s">
        <v>71</v>
      </c>
      <c r="C441">
        <f>IF($A442&lt;=C$4,C$5,0)</f>
        <v>0</v>
      </c>
      <c r="D441">
        <f>IF($A442&gt;C$4,IF($A442&lt;=D$4,C$5+(D$5-C$5)*($A442-C$4)/(D$4-C$4),0),0)</f>
        <v>0</v>
      </c>
      <c r="E441">
        <f>IF($A442&gt;D$4,IF($A442&lt;=E$4,D$5+(E$5-D$5)*($A442-D$4)/(E$4-D$4),0),0)</f>
        <v>12.32606726519076</v>
      </c>
      <c r="F441">
        <f t="shared" ref="F441" si="1613">IF($A442&gt;E$4,IF($A442&lt;=F$4,E$5+(F$5-E$5)*($A442-E$4)/(F$4-E$4),0),0)</f>
        <v>0</v>
      </c>
      <c r="G441">
        <f t="shared" ref="G441" si="1614">IF($A442&gt;F$4,IF($A442&lt;=G$4,F$5+(G$5-F$5)*($A442-F$4)/(G$4-F$4),0),0)</f>
        <v>0</v>
      </c>
      <c r="H441">
        <f t="shared" ref="H441" si="1615">IF($A442&gt;G$4,IF($A442&lt;=H$4,G$5+(H$5-G$5)*($A442-G$4)/(H$4-G$4),0),0)</f>
        <v>0</v>
      </c>
      <c r="I441">
        <f t="shared" ref="I441" si="1616">IF($A442&gt;H$4,IF($A442&lt;=I$4,H$5+(I$5-H$5)*($A442-H$4)/(I$4-H$4),0),0)</f>
        <v>0</v>
      </c>
      <c r="J441">
        <f t="shared" ref="J441" si="1617">IF($A442&gt;I$4,IF($A442&lt;=J$4,I$5+(J$5-I$5)*($A442-I$4)/(J$4-I$4),0),0)</f>
        <v>0</v>
      </c>
      <c r="K441">
        <f t="shared" ref="K441" si="1618">IF($A442&gt;J$4,IF($A442&lt;=K$4,J$5+(K$5-J$5)*($A442-J$4)/(K$4-J$4),0),0)</f>
        <v>0</v>
      </c>
      <c r="L441">
        <f>IF($A442&gt;K$4,IF($A442&lt;=L$4,K$5+(L$5-K$5)*($A442-K$4)/(L$4-K$4),L$5),0)</f>
        <v>0</v>
      </c>
      <c r="M441" s="32">
        <f t="shared" ref="M441:M460" si="1619">SUM(C441:L441)</f>
        <v>12.32606726519076</v>
      </c>
    </row>
    <row r="442" spans="1:13" ht="15.75" thickBot="1" x14ac:dyDescent="0.3">
      <c r="A442">
        <f>C439</f>
        <v>1.0474385635421761</v>
      </c>
      <c r="B442" t="s">
        <v>72</v>
      </c>
      <c r="C442">
        <f>IF($A442&lt;=C$4,C$6,0)</f>
        <v>0</v>
      </c>
      <c r="D442">
        <f>IF($A442&gt;C$4,IF($A442&lt;=D$4,C$6+(D$6-C$6)*($A442-C$4)/(D$4-C$4),0),0)</f>
        <v>0</v>
      </c>
      <c r="E442">
        <f t="shared" ref="E442" si="1620">IF($A442&gt;D$4,IF($A442&lt;=E$4,D$6+(E$6-D$6)*($A442-D$4)/(E$4-D$4),0),0)</f>
        <v>3.64786546961848</v>
      </c>
      <c r="F442">
        <f t="shared" ref="F442" si="1621">IF($A442&gt;E$4,IF($A442&lt;=F$4,E$6+(F$6-E$6)*($A442-E$4)/(F$4-E$4),0),0)</f>
        <v>0</v>
      </c>
      <c r="G442">
        <f t="shared" ref="G442" si="1622">IF($A442&gt;F$4,IF($A442&lt;=G$4,F$6+(G$6-F$6)*($A442-F$4)/(G$4-F$4),0),0)</f>
        <v>0</v>
      </c>
      <c r="H442">
        <f t="shared" ref="H442" si="1623">IF($A442&gt;G$4,IF($A442&lt;=H$4,G$6+(H$6-G$6)*($A442-G$4)/(H$4-G$4),0),0)</f>
        <v>0</v>
      </c>
      <c r="I442">
        <f t="shared" ref="I442" si="1624">IF($A442&gt;H$4,IF($A442&lt;=I$4,H$6+(I$6-H$6)*($A442-H$4)/(I$4-H$4),0),0)</f>
        <v>0</v>
      </c>
      <c r="J442">
        <f t="shared" ref="J442" si="1625">IF($A442&gt;I$4,IF($A442&lt;=J$4,I$6+(J$6-I$6)*($A442-I$4)/(J$4-I$4),0),0)</f>
        <v>0</v>
      </c>
      <c r="K442">
        <f t="shared" ref="K442" si="1626">IF($A442&gt;J$4,IF($A442&lt;=K$4,J$6+(K$6-J$6)*($A442-J$4)/(K$4-J$4),0),0)</f>
        <v>0</v>
      </c>
      <c r="L442">
        <f>IF($A442&gt;K$4,IF($A442&lt;=L$4,K$6+(L$6-K$6)*($A442-K$4)/(L$4-K$4),L$6),0)</f>
        <v>0</v>
      </c>
      <c r="M442" s="34">
        <f t="shared" si="1619"/>
        <v>3.64786546961848</v>
      </c>
    </row>
    <row r="443" spans="1:13" x14ac:dyDescent="0.25">
      <c r="A443" s="57" t="s">
        <v>81</v>
      </c>
      <c r="B443" t="s">
        <v>71</v>
      </c>
      <c r="C443">
        <f>IF($A444&lt;=C$4,C$5,0)</f>
        <v>0</v>
      </c>
      <c r="D443">
        <f>IF($A444&gt;C$4,IF($A444&lt;=D$4,C$5+(D$5-C$5)*($A444-C$4)/(D$4-C$4),0),0)</f>
        <v>0</v>
      </c>
      <c r="E443">
        <f>IF($A444&gt;D$4,IF($A444&lt;=E$4,D$5+(E$5-D$5)*($A444-D$4)/(E$4-D$4),0),0)</f>
        <v>0</v>
      </c>
      <c r="F443">
        <f t="shared" ref="F443" si="1627">IF($A444&gt;E$4,IF($A444&lt;=F$4,E$5+(F$5-E$5)*($A444-E$4)/(F$4-E$4),0),0)</f>
        <v>0</v>
      </c>
      <c r="G443">
        <f t="shared" ref="G443" si="1628">IF($A444&gt;F$4,IF($A444&lt;=G$4,F$5+(G$5-F$5)*($A444-F$4)/(G$4-F$4),0),0)</f>
        <v>12.176697073928153</v>
      </c>
      <c r="H443">
        <f t="shared" ref="H443" si="1629">IF($A444&gt;G$4,IF($A444&lt;=H$4,G$5+(H$5-G$5)*($A444-G$4)/(H$4-G$4),0),0)</f>
        <v>0</v>
      </c>
      <c r="I443">
        <f t="shared" ref="I443" si="1630">IF($A444&gt;H$4,IF($A444&lt;=I$4,H$5+(I$5-H$5)*($A444-H$4)/(I$4-H$4),0),0)</f>
        <v>0</v>
      </c>
      <c r="J443">
        <f t="shared" ref="J443" si="1631">IF($A444&gt;I$4,IF($A444&lt;=J$4,I$5+(J$5-I$5)*($A444-I$4)/(J$4-I$4),0),0)</f>
        <v>0</v>
      </c>
      <c r="K443">
        <f t="shared" ref="K443" si="1632">IF($A444&gt;J$4,IF($A444&lt;=K$4,J$5+(K$5-J$5)*($A444-J$4)/(K$4-J$4),0),0)</f>
        <v>0</v>
      </c>
      <c r="L443">
        <f>IF($A444&gt;K$4,IF($A444&lt;=L$4,K$5+(L$5-K$5)*($A444-K$4)/(L$4-K$4),L$5),0)</f>
        <v>0</v>
      </c>
      <c r="M443" s="32">
        <f t="shared" si="1619"/>
        <v>12.176697073928153</v>
      </c>
    </row>
    <row r="444" spans="1:13" ht="15.75" thickBot="1" x14ac:dyDescent="0.3">
      <c r="A444">
        <f>D439</f>
        <v>1.4738905338586472</v>
      </c>
      <c r="B444" t="s">
        <v>72</v>
      </c>
      <c r="C444">
        <f>IF($A444&lt;=C$4,C$6,0)</f>
        <v>0</v>
      </c>
      <c r="D444">
        <f>IF($A444&gt;C$4,IF($A444&lt;=D$4,C$6+(D$6-C$6)*($A444-C$4)/(D$4-C$4),0),0)</f>
        <v>0</v>
      </c>
      <c r="E444">
        <f t="shared" ref="E444" si="1633">IF($A444&gt;D$4,IF($A444&lt;=E$4,D$6+(E$6-D$6)*($A444-D$4)/(E$4-D$4),0),0)</f>
        <v>0</v>
      </c>
      <c r="F444">
        <f t="shared" ref="F444" si="1634">IF($A444&gt;E$4,IF($A444&lt;=F$4,E$6+(F$6-E$6)*($A444-E$4)/(F$4-E$4),0),0)</f>
        <v>0</v>
      </c>
      <c r="G444">
        <f t="shared" ref="G444" si="1635">IF($A444&gt;F$4,IF($A444&lt;=G$4,F$6+(G$6-F$6)*($A444-F$4)/(G$4-F$4),0),0)</f>
        <v>3.9466058521436929</v>
      </c>
      <c r="H444">
        <f t="shared" ref="H444" si="1636">IF($A444&gt;G$4,IF($A444&lt;=H$4,G$6+(H$6-G$6)*($A444-G$4)/(H$4-G$4),0),0)</f>
        <v>0</v>
      </c>
      <c r="I444">
        <f t="shared" ref="I444" si="1637">IF($A444&gt;H$4,IF($A444&lt;=I$4,H$6+(I$6-H$6)*($A444-H$4)/(I$4-H$4),0),0)</f>
        <v>0</v>
      </c>
      <c r="J444">
        <f t="shared" ref="J444" si="1638">IF($A444&gt;I$4,IF($A444&lt;=J$4,I$6+(J$6-I$6)*($A444-I$4)/(J$4-I$4),0),0)</f>
        <v>0</v>
      </c>
      <c r="K444">
        <f t="shared" ref="K444" si="1639">IF($A444&gt;J$4,IF($A444&lt;=K$4,J$6+(K$6-J$6)*($A444-J$4)/(K$4-J$4),0),0)</f>
        <v>0</v>
      </c>
      <c r="L444">
        <f>IF($A444&gt;K$4,IF($A444&lt;=L$4,K$6+(L$6-K$6)*($A444-K$4)/(L$4-K$4),L$6),0)</f>
        <v>0</v>
      </c>
      <c r="M444" s="34">
        <f t="shared" si="1619"/>
        <v>3.9466058521436929</v>
      </c>
    </row>
    <row r="445" spans="1:13" x14ac:dyDescent="0.25">
      <c r="A445" s="57" t="s">
        <v>82</v>
      </c>
      <c r="B445" t="s">
        <v>71</v>
      </c>
      <c r="C445">
        <f>IF($A446&lt;=C$4,C$5,0)</f>
        <v>0</v>
      </c>
      <c r="D445">
        <f>IF($A446&gt;C$4,IF($A446&lt;=D$4,C$5+(D$5-C$5)*($A446-C$4)/(D$4-C$4),0),0)</f>
        <v>0</v>
      </c>
      <c r="E445">
        <f>IF($A446&gt;D$4,IF($A446&lt;=E$4,D$5+(E$5-D$5)*($A446-D$4)/(E$4-D$4),0),0)</f>
        <v>0</v>
      </c>
      <c r="F445">
        <f t="shared" ref="F445" si="1640">IF($A446&gt;E$4,IF($A446&lt;=F$4,E$5+(F$5-E$5)*($A446-E$4)/(F$4-E$4),0),0)</f>
        <v>0</v>
      </c>
      <c r="G445">
        <f t="shared" ref="G445" si="1641">IF($A446&gt;F$4,IF($A446&lt;=G$4,F$5+(G$5-F$5)*($A446-F$4)/(G$4-F$4),0),0)</f>
        <v>0</v>
      </c>
      <c r="H445">
        <f t="shared" ref="H445" si="1642">IF($A446&gt;G$4,IF($A446&lt;=H$4,G$5+(H$5-G$5)*($A446-G$4)/(H$4-G$4),0),0)</f>
        <v>12.057542355470146</v>
      </c>
      <c r="I445">
        <f t="shared" ref="I445" si="1643">IF($A446&gt;H$4,IF($A446&lt;=I$4,H$5+(I$5-H$5)*($A446-H$4)/(I$4-H$4),0),0)</f>
        <v>0</v>
      </c>
      <c r="J445">
        <f t="shared" ref="J445" si="1644">IF($A446&gt;I$4,IF($A446&lt;=J$4,I$5+(J$5-I$5)*($A446-I$4)/(J$4-I$4),0),0)</f>
        <v>0</v>
      </c>
      <c r="K445">
        <f t="shared" ref="K445" si="1645">IF($A446&gt;J$4,IF($A446&lt;=K$4,J$5+(K$5-J$5)*($A446-J$4)/(K$4-J$4),0),0)</f>
        <v>0</v>
      </c>
      <c r="L445">
        <f>IF($A446&gt;K$4,IF($A446&lt;=L$4,K$5+(L$5-K$5)*($A446-K$4)/(L$4-K$4),L$5),0)</f>
        <v>0</v>
      </c>
      <c r="M445" s="32">
        <f t="shared" si="1619"/>
        <v>12.057542355470146</v>
      </c>
    </row>
    <row r="446" spans="1:13" ht="15.75" thickBot="1" x14ac:dyDescent="0.3">
      <c r="A446">
        <f>E439</f>
        <v>1.9453051648373281</v>
      </c>
      <c r="B446" t="s">
        <v>72</v>
      </c>
      <c r="C446">
        <f>IF($A446&lt;=C$4,C$6,0)</f>
        <v>0</v>
      </c>
      <c r="D446">
        <f>IF($A446&gt;C$4,IF($A446&lt;=D$4,C$6+(D$6-C$6)*($A446-C$4)/(D$4-C$4),0),0)</f>
        <v>0</v>
      </c>
      <c r="E446">
        <f t="shared" ref="E446" si="1646">IF($A446&gt;D$4,IF($A446&lt;=E$4,D$6+(E$6-D$6)*($A446-D$4)/(E$4-D$4),0),0)</f>
        <v>0</v>
      </c>
      <c r="F446">
        <f t="shared" ref="F446" si="1647">IF($A446&gt;E$4,IF($A446&lt;=F$4,E$6+(F$6-E$6)*($A446-E$4)/(F$4-E$4),0),0)</f>
        <v>0</v>
      </c>
      <c r="G446">
        <f t="shared" ref="G446" si="1648">IF($A446&gt;F$4,IF($A446&lt;=G$4,F$6+(G$6-F$6)*($A446-F$4)/(G$4-F$4),0),0)</f>
        <v>0</v>
      </c>
      <c r="H446">
        <f t="shared" ref="H446" si="1649">IF($A446&gt;G$4,IF($A446&lt;=H$4,G$6+(H$6-G$6)*($A446-G$4)/(H$4-G$4),0),0)</f>
        <v>4.2698305781194152</v>
      </c>
      <c r="I446">
        <f t="shared" ref="I446" si="1650">IF($A446&gt;H$4,IF($A446&lt;=I$4,H$6+(I$6-H$6)*($A446-H$4)/(I$4-H$4),0),0)</f>
        <v>0</v>
      </c>
      <c r="J446">
        <f t="shared" ref="J446" si="1651">IF($A446&gt;I$4,IF($A446&lt;=J$4,I$6+(J$6-I$6)*($A446-I$4)/(J$4-I$4),0),0)</f>
        <v>0</v>
      </c>
      <c r="K446">
        <f t="shared" ref="K446" si="1652">IF($A446&gt;J$4,IF($A446&lt;=K$4,J$6+(K$6-J$6)*($A446-J$4)/(K$4-J$4),0),0)</f>
        <v>0</v>
      </c>
      <c r="L446">
        <f>IF($A446&gt;K$4,IF($A446&lt;=L$4,K$6+(L$6-K$6)*($A446-K$4)/(L$4-K$4),L$6),0)</f>
        <v>0</v>
      </c>
      <c r="M446" s="34">
        <f t="shared" si="1619"/>
        <v>4.2698305781194152</v>
      </c>
    </row>
    <row r="447" spans="1:13" x14ac:dyDescent="0.25">
      <c r="A447" s="57" t="s">
        <v>83</v>
      </c>
      <c r="B447" t="s">
        <v>71</v>
      </c>
      <c r="C447">
        <f>IF($A448&lt;=C$4,C$5,0)</f>
        <v>0</v>
      </c>
      <c r="D447">
        <f>IF($A448&gt;C$4,IF($A448&lt;=D$4,C$5+(D$5-C$5)*($A448-C$4)/(D$4-C$4),0),0)</f>
        <v>0</v>
      </c>
      <c r="E447">
        <f>IF($A448&gt;D$4,IF($A448&lt;=E$4,D$5+(E$5-D$5)*($A448-D$4)/(E$4-D$4),0),0)</f>
        <v>0</v>
      </c>
      <c r="F447">
        <f t="shared" ref="F447" si="1653">IF($A448&gt;E$4,IF($A448&lt;=F$4,E$5+(F$5-E$5)*($A448-E$4)/(F$4-E$4),0),0)</f>
        <v>0</v>
      </c>
      <c r="G447">
        <f t="shared" ref="G447" si="1654">IF($A448&gt;F$4,IF($A448&lt;=G$4,F$5+(G$5-F$5)*($A448-F$4)/(G$4-F$4),0),0)</f>
        <v>0</v>
      </c>
      <c r="H447">
        <f t="shared" ref="H447" si="1655">IF($A448&gt;G$4,IF($A448&lt;=H$4,G$5+(H$5-G$5)*($A448-G$4)/(H$4-G$4),0),0)</f>
        <v>0</v>
      </c>
      <c r="I447">
        <f t="shared" ref="I447" si="1656">IF($A448&gt;H$4,IF($A448&lt;=I$4,H$5+(I$5-H$5)*($A448-H$4)/(I$4-H$4),0),0)</f>
        <v>12</v>
      </c>
      <c r="J447">
        <f t="shared" ref="J447" si="1657">IF($A448&gt;I$4,IF($A448&lt;=J$4,I$5+(J$5-I$5)*($A448-I$4)/(J$4-I$4),0),0)</f>
        <v>0</v>
      </c>
      <c r="K447">
        <f t="shared" ref="K447" si="1658">IF($A448&gt;J$4,IF($A448&lt;=K$4,J$5+(K$5-J$5)*($A448-J$4)/(K$4-J$4),0),0)</f>
        <v>0</v>
      </c>
      <c r="L447">
        <f>IF($A448&gt;K$4,IF($A448&lt;=L$4,K$5+(L$5-K$5)*($A448-K$4)/(L$4-K$4),L$5),0)</f>
        <v>0</v>
      </c>
      <c r="M447" s="32">
        <f t="shared" si="1619"/>
        <v>12</v>
      </c>
    </row>
    <row r="448" spans="1:13" ht="15.75" thickBot="1" x14ac:dyDescent="0.3">
      <c r="A448">
        <f>F439</f>
        <v>2.4786538570409964</v>
      </c>
      <c r="B448" t="s">
        <v>72</v>
      </c>
      <c r="C448">
        <f>IF($A448&lt;=C$4,C$6,0)</f>
        <v>0</v>
      </c>
      <c r="D448">
        <f>IF($A448&gt;C$4,IF($A448&lt;=D$4,C$6+(D$6-C$6)*($A448-C$4)/(D$4-C$4),0),0)</f>
        <v>0</v>
      </c>
      <c r="E448">
        <f t="shared" ref="E448" si="1659">IF($A448&gt;D$4,IF($A448&lt;=E$4,D$6+(E$6-D$6)*($A448-D$4)/(E$4-D$4),0),0)</f>
        <v>0</v>
      </c>
      <c r="F448">
        <f t="shared" ref="F448" si="1660">IF($A448&gt;E$4,IF($A448&lt;=F$4,E$6+(F$6-E$6)*($A448-E$4)/(F$4-E$4),0),0)</f>
        <v>0</v>
      </c>
      <c r="G448">
        <f t="shared" ref="G448" si="1661">IF($A448&gt;F$4,IF($A448&lt;=G$4,F$6+(G$6-F$6)*($A448-F$4)/(G$4-F$4),0),0)</f>
        <v>0</v>
      </c>
      <c r="H448">
        <f t="shared" ref="H448" si="1662">IF($A448&gt;G$4,IF($A448&lt;=H$4,G$6+(H$6-G$6)*($A448-G$4)/(H$4-G$4),0),0)</f>
        <v>0</v>
      </c>
      <c r="I448">
        <f t="shared" ref="I448" si="1663">IF($A448&gt;H$4,IF($A448&lt;=I$4,H$6+(I$6-H$6)*($A448-H$4)/(I$4-H$4),0),0)</f>
        <v>4.9029807855614944</v>
      </c>
      <c r="J448">
        <f t="shared" ref="J448" si="1664">IF($A448&gt;I$4,IF($A448&lt;=J$4,I$6+(J$6-I$6)*($A448-I$4)/(J$4-I$4),0),0)</f>
        <v>0</v>
      </c>
      <c r="K448">
        <f t="shared" ref="K448" si="1665">IF($A448&gt;J$4,IF($A448&lt;=K$4,J$6+(K$6-J$6)*($A448-J$4)/(K$4-J$4),0),0)</f>
        <v>0</v>
      </c>
      <c r="L448">
        <f>IF($A448&gt;K$4,IF($A448&lt;=L$4,K$6+(L$6-K$6)*($A448-K$4)/(L$4-K$4),L$6),0)</f>
        <v>0</v>
      </c>
      <c r="M448" s="34">
        <f t="shared" si="1619"/>
        <v>4.9029807855614944</v>
      </c>
    </row>
    <row r="449" spans="1:13" x14ac:dyDescent="0.25">
      <c r="A449" s="57" t="s">
        <v>84</v>
      </c>
      <c r="B449" t="s">
        <v>71</v>
      </c>
      <c r="C449">
        <f>IF($A450&lt;=C$4,C$5,0)</f>
        <v>0</v>
      </c>
      <c r="D449">
        <f>IF($A450&gt;C$4,IF($A450&lt;=D$4,C$5+(D$5-C$5)*($A450-C$4)/(D$4-C$4),0),0)</f>
        <v>0</v>
      </c>
      <c r="E449">
        <f>IF($A450&gt;D$4,IF($A450&lt;=E$4,D$5+(E$5-D$5)*($A450-D$4)/(E$4-D$4),0),0)</f>
        <v>0</v>
      </c>
      <c r="F449">
        <f t="shared" ref="F449" si="1666">IF($A450&gt;E$4,IF($A450&lt;=F$4,E$5+(F$5-E$5)*($A450-E$4)/(F$4-E$4),0),0)</f>
        <v>0</v>
      </c>
      <c r="G449">
        <f t="shared" ref="G449" si="1667">IF($A450&gt;F$4,IF($A450&lt;=G$4,F$5+(G$5-F$5)*($A450-F$4)/(G$4-F$4),0),0)</f>
        <v>0</v>
      </c>
      <c r="H449">
        <f t="shared" ref="H449" si="1668">IF($A450&gt;G$4,IF($A450&lt;=H$4,G$5+(H$5-G$5)*($A450-G$4)/(H$4-G$4),0),0)</f>
        <v>0</v>
      </c>
      <c r="I449">
        <f t="shared" ref="I449" si="1669">IF($A450&gt;H$4,IF($A450&lt;=I$4,H$5+(I$5-H$5)*($A450-H$4)/(I$4-H$4),0),0)</f>
        <v>0</v>
      </c>
      <c r="J449">
        <f t="shared" ref="J449" si="1670">IF($A450&gt;I$4,IF($A450&lt;=J$4,I$5+(J$5-I$5)*($A450-I$4)/(J$4-I$4),0),0)</f>
        <v>11.970978388041855</v>
      </c>
      <c r="K449">
        <f t="shared" ref="K449" si="1671">IF($A450&gt;J$4,IF($A450&lt;=K$4,J$5+(K$5-J$5)*($A450-J$4)/(K$4-J$4),0),0)</f>
        <v>0</v>
      </c>
      <c r="L449">
        <f>IF($A450&gt;K$4,IF($A450&lt;=L$4,K$5+(L$5-K$5)*($A450-K$4)/(L$4-K$4),L$5),0)</f>
        <v>0</v>
      </c>
      <c r="M449" s="32">
        <f t="shared" si="1619"/>
        <v>11.970978388041855</v>
      </c>
    </row>
    <row r="450" spans="1:13" ht="15.75" thickBot="1" x14ac:dyDescent="0.3">
      <c r="A450">
        <f>G439</f>
        <v>3.0973139583856368</v>
      </c>
      <c r="B450" t="s">
        <v>72</v>
      </c>
      <c r="C450">
        <f>IF($A450&lt;=C$4,C$6,0)</f>
        <v>0</v>
      </c>
      <c r="D450">
        <f>IF($A450&gt;C$4,IF($A450&lt;=D$4,C$6+(D$6-C$6)*($A450-C$4)/(D$4-C$4),0),0)</f>
        <v>0</v>
      </c>
      <c r="E450">
        <f t="shared" ref="E450" si="1672">IF($A450&gt;D$4,IF($A450&lt;=E$4,D$6+(E$6-D$6)*($A450-D$4)/(E$4-D$4),0),0)</f>
        <v>0</v>
      </c>
      <c r="F450">
        <f t="shared" ref="F450" si="1673">IF($A450&gt;E$4,IF($A450&lt;=F$4,E$6+(F$6-E$6)*($A450-E$4)/(F$4-E$4),0),0)</f>
        <v>0</v>
      </c>
      <c r="G450">
        <f t="shared" ref="G450" si="1674">IF($A450&gt;F$4,IF($A450&lt;=G$4,F$6+(G$6-F$6)*($A450-F$4)/(G$4-F$4),0),0)</f>
        <v>0</v>
      </c>
      <c r="H450">
        <f t="shared" ref="H450" si="1675">IF($A450&gt;G$4,IF($A450&lt;=H$4,G$6+(H$6-G$6)*($A450-G$4)/(H$4-G$4),0),0)</f>
        <v>0</v>
      </c>
      <c r="I450">
        <f t="shared" ref="I450" si="1676">IF($A450&gt;H$4,IF($A450&lt;=I$4,H$6+(I$6-H$6)*($A450-H$4)/(I$4-H$4),0),0)</f>
        <v>0</v>
      </c>
      <c r="J450">
        <f t="shared" ref="J450" si="1677">IF($A450&gt;I$4,IF($A450&lt;=J$4,I$6+(J$6-I$6)*($A450-I$4)/(J$4-I$4),0),0)</f>
        <v>5.6902161195814518</v>
      </c>
      <c r="K450">
        <f t="shared" ref="K450" si="1678">IF($A450&gt;J$4,IF($A450&lt;=K$4,J$6+(K$6-J$6)*($A450-J$4)/(K$4-J$4),0),0)</f>
        <v>0</v>
      </c>
      <c r="L450">
        <f>IF($A450&gt;K$4,IF($A450&lt;=L$4,K$6+(L$6-K$6)*($A450-K$4)/(L$4-K$4),L$6),0)</f>
        <v>0</v>
      </c>
      <c r="M450" s="34">
        <f t="shared" si="1619"/>
        <v>5.6902161195814518</v>
      </c>
    </row>
    <row r="451" spans="1:13" x14ac:dyDescent="0.25">
      <c r="A451" s="57" t="s">
        <v>85</v>
      </c>
      <c r="B451" t="s">
        <v>71</v>
      </c>
      <c r="C451">
        <f>IF($A452&lt;=C$4,C$5,0)</f>
        <v>0</v>
      </c>
      <c r="D451">
        <f>IF($A452&gt;C$4,IF($A452&lt;=D$4,C$5+(D$5-C$5)*($A452-C$4)/(D$4-C$4),0),0)</f>
        <v>0</v>
      </c>
      <c r="E451">
        <f>IF($A452&gt;D$4,IF($A452&lt;=E$4,D$5+(E$5-D$5)*($A452-D$4)/(E$4-D$4),0),0)</f>
        <v>0</v>
      </c>
      <c r="F451">
        <f t="shared" ref="F451" si="1679">IF($A452&gt;E$4,IF($A452&lt;=F$4,E$5+(F$5-E$5)*($A452-E$4)/(F$4-E$4),0),0)</f>
        <v>0</v>
      </c>
      <c r="G451">
        <f t="shared" ref="G451" si="1680">IF($A452&gt;F$4,IF($A452&lt;=G$4,F$5+(G$5-F$5)*($A452-F$4)/(G$4-F$4),0),0)</f>
        <v>0</v>
      </c>
      <c r="H451">
        <f t="shared" ref="H451" si="1681">IF($A452&gt;G$4,IF($A452&lt;=H$4,G$5+(H$5-G$5)*($A452-G$4)/(H$4-G$4),0),0)</f>
        <v>0</v>
      </c>
      <c r="I451">
        <f t="shared" ref="I451" si="1682">IF($A452&gt;H$4,IF($A452&lt;=I$4,H$5+(I$5-H$5)*($A452-H$4)/(I$4-H$4),0),0)</f>
        <v>0</v>
      </c>
      <c r="J451">
        <f t="shared" ref="J451" si="1683">IF($A452&gt;I$4,IF($A452&lt;=J$4,I$5+(J$5-I$5)*($A452-I$4)/(J$4-I$4),0),0)</f>
        <v>0</v>
      </c>
      <c r="K451">
        <f t="shared" ref="K451" si="1684">IF($A452&gt;J$4,IF($A452&lt;=K$4,J$5+(K$5-J$5)*($A452-J$4)/(K$4-J$4),0),0)</f>
        <v>11.896983178038345</v>
      </c>
      <c r="L451">
        <f>IF($A452&gt;K$4,IF($A452&lt;=L$4,K$5+(L$5-K$5)*($A452-K$4)/(L$4-K$4),L$5),0)</f>
        <v>0</v>
      </c>
      <c r="M451" s="32">
        <f t="shared" si="1619"/>
        <v>11.896983178038345</v>
      </c>
    </row>
    <row r="452" spans="1:13" ht="15.75" thickBot="1" x14ac:dyDescent="0.3">
      <c r="A452">
        <f>H439</f>
        <v>3.8334867237743744</v>
      </c>
      <c r="B452" t="s">
        <v>72</v>
      </c>
      <c r="C452">
        <f>IF($A452&lt;=C$4,C$6,0)</f>
        <v>0</v>
      </c>
      <c r="D452">
        <f>IF($A452&gt;C$4,IF($A452&lt;=D$4,C$6+(D$6-C$6)*($A452-C$4)/(D$4-C$4),0),0)</f>
        <v>0</v>
      </c>
      <c r="E452">
        <f t="shared" ref="E452" si="1685">IF($A452&gt;D$4,IF($A452&lt;=E$4,D$6+(E$6-D$6)*($A452-D$4)/(E$4-D$4),0),0)</f>
        <v>0</v>
      </c>
      <c r="F452">
        <f t="shared" ref="F452" si="1686">IF($A452&gt;E$4,IF($A452&lt;=F$4,E$6+(F$6-E$6)*($A452-E$4)/(F$4-E$4),0),0)</f>
        <v>0</v>
      </c>
      <c r="G452">
        <f t="shared" ref="G452" si="1687">IF($A452&gt;F$4,IF($A452&lt;=G$4,F$6+(G$6-F$6)*($A452-F$4)/(G$4-F$4),0),0)</f>
        <v>0</v>
      </c>
      <c r="H452">
        <f t="shared" ref="H452" si="1688">IF($A452&gt;G$4,IF($A452&lt;=H$4,G$6+(H$6-G$6)*($A452-G$4)/(H$4-G$4),0),0)</f>
        <v>0</v>
      </c>
      <c r="I452">
        <f t="shared" ref="I452" si="1689">IF($A452&gt;H$4,IF($A452&lt;=I$4,H$6+(I$6-H$6)*($A452-H$4)/(I$4-H$4),0),0)</f>
        <v>0</v>
      </c>
      <c r="J452">
        <f t="shared" ref="J452" si="1690">IF($A452&gt;I$4,IF($A452&lt;=J$4,I$6+(J$6-I$6)*($A452-I$4)/(J$4-I$4),0),0)</f>
        <v>0</v>
      </c>
      <c r="K452">
        <f t="shared" ref="K452" si="1691">IF($A452&gt;J$4,IF($A452&lt;=K$4,J$6+(K$6-J$6)*($A452-J$4)/(K$4-J$4),0),0)</f>
        <v>6.4859794259071784</v>
      </c>
      <c r="L452">
        <f>IF($A452&gt;K$4,IF($A452&lt;=L$4,K$6+(L$6-K$6)*($A452-K$4)/(L$4-K$4),L$6),0)</f>
        <v>0</v>
      </c>
      <c r="M452" s="34">
        <f t="shared" si="1619"/>
        <v>6.4859794259071784</v>
      </c>
    </row>
    <row r="453" spans="1:13" x14ac:dyDescent="0.25">
      <c r="A453" s="57" t="s">
        <v>86</v>
      </c>
      <c r="B453" t="s">
        <v>71</v>
      </c>
      <c r="C453">
        <f>IF($A454&lt;=C$4,C$5,0)</f>
        <v>0</v>
      </c>
      <c r="D453">
        <f>IF($A454&gt;C$4,IF($A454&lt;=D$4,C$5+(D$5-C$5)*($A454-C$4)/(D$4-C$4),0),0)</f>
        <v>0</v>
      </c>
      <c r="E453">
        <f>IF($A454&gt;D$4,IF($A454&lt;=E$4,D$5+(E$5-D$5)*($A454-D$4)/(E$4-D$4),0),0)</f>
        <v>0</v>
      </c>
      <c r="F453">
        <f t="shared" ref="F453" si="1692">IF($A454&gt;E$4,IF($A454&lt;=F$4,E$5+(F$5-E$5)*($A454-E$4)/(F$4-E$4),0),0)</f>
        <v>0</v>
      </c>
      <c r="G453">
        <f t="shared" ref="G453" si="1693">IF($A454&gt;F$4,IF($A454&lt;=G$4,F$5+(G$5-F$5)*($A454-F$4)/(G$4-F$4),0),0)</f>
        <v>0</v>
      </c>
      <c r="H453">
        <f t="shared" ref="H453" si="1694">IF($A454&gt;G$4,IF($A454&lt;=H$4,G$5+(H$5-G$5)*($A454-G$4)/(H$4-G$4),0),0)</f>
        <v>0</v>
      </c>
      <c r="I453">
        <f t="shared" ref="I453" si="1695">IF($A454&gt;H$4,IF($A454&lt;=I$4,H$5+(I$5-H$5)*($A454-H$4)/(I$4-H$4),0),0)</f>
        <v>0</v>
      </c>
      <c r="J453">
        <f t="shared" ref="J453" si="1696">IF($A454&gt;I$4,IF($A454&lt;=J$4,I$5+(J$5-I$5)*($A454-I$4)/(J$4-I$4),0),0)</f>
        <v>0</v>
      </c>
      <c r="K453">
        <f t="shared" ref="K453" si="1697">IF($A454&gt;J$4,IF($A454&lt;=K$4,J$5+(K$5-J$5)*($A454-J$4)/(K$4-J$4),0),0)</f>
        <v>11.816078563357411</v>
      </c>
      <c r="L453">
        <f>IF($A454&gt;K$4,IF($A454&lt;=L$4,K$5+(L$5-K$5)*($A454-K$4)/(L$4-K$4),L$5),0)</f>
        <v>0</v>
      </c>
      <c r="M453" s="32">
        <f t="shared" si="1619"/>
        <v>11.816078563357411</v>
      </c>
    </row>
    <row r="454" spans="1:13" ht="15.75" thickBot="1" x14ac:dyDescent="0.3">
      <c r="A454">
        <f>I439</f>
        <v>4.7315279467327391</v>
      </c>
      <c r="B454" t="s">
        <v>72</v>
      </c>
      <c r="C454">
        <f>IF($A454&lt;=C$4,C$6,0)</f>
        <v>0</v>
      </c>
      <c r="D454">
        <f>IF($A454&gt;C$4,IF($A454&lt;=D$4,C$6+(D$6-C$6)*($A454-C$4)/(D$4-C$4),0),0)</f>
        <v>0</v>
      </c>
      <c r="E454">
        <f t="shared" ref="E454" si="1698">IF($A454&gt;D$4,IF($A454&lt;=E$4,D$6+(E$6-D$6)*($A454-D$4)/(E$4-D$4),0),0)</f>
        <v>0</v>
      </c>
      <c r="F454">
        <f t="shared" ref="F454" si="1699">IF($A454&gt;E$4,IF($A454&lt;=F$4,E$6+(F$6-E$6)*($A454-E$4)/(F$4-E$4),0),0)</f>
        <v>0</v>
      </c>
      <c r="G454">
        <f t="shared" ref="G454" si="1700">IF($A454&gt;F$4,IF($A454&lt;=G$4,F$6+(G$6-F$6)*($A454-F$4)/(G$4-F$4),0),0)</f>
        <v>0</v>
      </c>
      <c r="H454">
        <f t="shared" ref="H454" si="1701">IF($A454&gt;G$4,IF($A454&lt;=H$4,G$6+(H$6-G$6)*($A454-G$4)/(H$4-G$4),0),0)</f>
        <v>0</v>
      </c>
      <c r="I454">
        <f t="shared" ref="I454" si="1702">IF($A454&gt;H$4,IF($A454&lt;=I$4,H$6+(I$6-H$6)*($A454-H$4)/(I$4-H$4),0),0)</f>
        <v>0</v>
      </c>
      <c r="J454">
        <f t="shared" ref="J454" si="1703">IF($A454&gt;I$4,IF($A454&lt;=J$4,I$6+(J$6-I$6)*($A454-I$4)/(J$4-I$4),0),0)</f>
        <v>0</v>
      </c>
      <c r="K454">
        <f t="shared" ref="K454" si="1704">IF($A454&gt;J$4,IF($A454&lt;=K$4,J$6+(K$6-J$6)*($A454-J$4)/(K$4-J$4),0),0)</f>
        <v>8.7917609443137898</v>
      </c>
      <c r="L454">
        <f>IF($A454&gt;K$4,IF($A454&lt;=L$4,K$6+(L$6-K$6)*($A454-K$4)/(L$4-K$4),L$6),0)</f>
        <v>0</v>
      </c>
      <c r="M454" s="34">
        <f t="shared" si="1619"/>
        <v>8.7917609443137898</v>
      </c>
    </row>
    <row r="455" spans="1:13" x14ac:dyDescent="0.25">
      <c r="A455" s="57" t="s">
        <v>87</v>
      </c>
      <c r="B455" t="s">
        <v>71</v>
      </c>
      <c r="C455">
        <f>IF($A456&lt;=C$4,C$5,0)</f>
        <v>0</v>
      </c>
      <c r="D455">
        <f>IF($A456&gt;C$4,IF($A456&lt;=D$4,C$5+(D$5-C$5)*($A456-C$4)/(D$4-C$4),0),0)</f>
        <v>0</v>
      </c>
      <c r="E455">
        <f>IF($A456&gt;D$4,IF($A456&lt;=E$4,D$5+(E$5-D$5)*($A456-D$4)/(E$4-D$4),0),0)</f>
        <v>0</v>
      </c>
      <c r="F455">
        <f t="shared" ref="F455" si="1705">IF($A456&gt;E$4,IF($A456&lt;=F$4,E$5+(F$5-E$5)*($A456-E$4)/(F$4-E$4),0),0)</f>
        <v>0</v>
      </c>
      <c r="G455">
        <f t="shared" ref="G455" si="1706">IF($A456&gt;F$4,IF($A456&lt;=G$4,F$5+(G$5-F$5)*($A456-F$4)/(G$4-F$4),0),0)</f>
        <v>0</v>
      </c>
      <c r="H455">
        <f t="shared" ref="H455" si="1707">IF($A456&gt;G$4,IF($A456&lt;=H$4,G$5+(H$5-G$5)*($A456-G$4)/(H$4-G$4),0),0)</f>
        <v>0</v>
      </c>
      <c r="I455">
        <f t="shared" ref="I455" si="1708">IF($A456&gt;H$4,IF($A456&lt;=I$4,H$5+(I$5-H$5)*($A456-H$4)/(I$4-H$4),0),0)</f>
        <v>0</v>
      </c>
      <c r="J455">
        <f t="shared" ref="J455" si="1709">IF($A456&gt;I$4,IF($A456&lt;=J$4,I$5+(J$5-I$5)*($A456-I$4)/(J$4-I$4),0),0)</f>
        <v>0</v>
      </c>
      <c r="K455">
        <f t="shared" ref="K455" si="1710">IF($A456&gt;J$4,IF($A456&lt;=K$4,J$5+(K$5-J$5)*($A456-J$4)/(K$4-J$4),0),0)</f>
        <v>0</v>
      </c>
      <c r="L455">
        <f>IF($A456&gt;K$4,IF($A456&lt;=L$4,K$5+(L$5-K$5)*($A456-K$4)/(L$4-K$4),L$5),0)</f>
        <v>11.766457802275765</v>
      </c>
      <c r="M455" s="32">
        <f t="shared" si="1619"/>
        <v>11.766457802275765</v>
      </c>
    </row>
    <row r="456" spans="1:13" ht="15.75" thickBot="1" x14ac:dyDescent="0.3">
      <c r="A456">
        <f>J439</f>
        <v>5.8525357560510063</v>
      </c>
      <c r="B456" t="s">
        <v>72</v>
      </c>
      <c r="C456">
        <f>IF($A456&lt;=C$4,C$6,0)</f>
        <v>0</v>
      </c>
      <c r="D456">
        <f>IF($A456&gt;C$4,IF($A456&lt;=D$4,C$6+(D$6-C$6)*($A456-C$4)/(D$4-C$4),0),0)</f>
        <v>0</v>
      </c>
      <c r="E456">
        <f t="shared" ref="E456" si="1711">IF($A456&gt;D$4,IF($A456&lt;=E$4,D$6+(E$6-D$6)*($A456-D$4)/(E$4-D$4),0),0)</f>
        <v>0</v>
      </c>
      <c r="F456">
        <f t="shared" ref="F456" si="1712">IF($A456&gt;E$4,IF($A456&lt;=F$4,E$6+(F$6-E$6)*($A456-E$4)/(F$4-E$4),0),0)</f>
        <v>0</v>
      </c>
      <c r="G456">
        <f t="shared" ref="G456" si="1713">IF($A456&gt;F$4,IF($A456&lt;=G$4,F$6+(G$6-F$6)*($A456-F$4)/(G$4-F$4),0),0)</f>
        <v>0</v>
      </c>
      <c r="H456">
        <f t="shared" ref="H456" si="1714">IF($A456&gt;G$4,IF($A456&lt;=H$4,G$6+(H$6-G$6)*($A456-G$4)/(H$4-G$4),0),0)</f>
        <v>0</v>
      </c>
      <c r="I456">
        <f t="shared" ref="I456" si="1715">IF($A456&gt;H$4,IF($A456&lt;=I$4,H$6+(I$6-H$6)*($A456-H$4)/(I$4-H$4),0),0)</f>
        <v>0</v>
      </c>
      <c r="J456">
        <f t="shared" ref="J456" si="1716">IF($A456&gt;I$4,IF($A456&lt;=J$4,I$6+(J$6-I$6)*($A456-I$4)/(J$4-I$4),0),0)</f>
        <v>0</v>
      </c>
      <c r="K456">
        <f t="shared" ref="K456" si="1717">IF($A456&gt;J$4,IF($A456&lt;=K$4,J$6+(K$6-J$6)*($A456-J$4)/(K$4-J$4),0),0)</f>
        <v>0</v>
      </c>
      <c r="L456">
        <f>IF($A456&gt;K$4,IF($A456&lt;=L$4,K$6+(L$6-K$6)*($A456-K$4)/(L$4-K$4),L$6),0)</f>
        <v>10.709085601004226</v>
      </c>
      <c r="M456" s="34">
        <f t="shared" si="1619"/>
        <v>10.709085601004226</v>
      </c>
    </row>
    <row r="457" spans="1:13" x14ac:dyDescent="0.25">
      <c r="A457" s="57" t="s">
        <v>88</v>
      </c>
      <c r="B457" t="s">
        <v>71</v>
      </c>
      <c r="C457">
        <f>IF($A458&lt;=C$4,C$5,0)</f>
        <v>0</v>
      </c>
      <c r="D457">
        <f>IF($A458&gt;C$4,IF($A458&lt;=D$4,C$5+(D$5-C$5)*($A458-C$4)/(D$4-C$4),0),0)</f>
        <v>0</v>
      </c>
      <c r="E457">
        <f>IF($A458&gt;D$4,IF($A458&lt;=E$4,D$5+(E$5-D$5)*($A458-D$4)/(E$4-D$4),0),0)</f>
        <v>0</v>
      </c>
      <c r="F457">
        <f t="shared" ref="F457" si="1718">IF($A458&gt;E$4,IF($A458&lt;=F$4,E$5+(F$5-E$5)*($A458-E$4)/(F$4-E$4),0),0)</f>
        <v>0</v>
      </c>
      <c r="G457">
        <f t="shared" ref="G457" si="1719">IF($A458&gt;F$4,IF($A458&lt;=G$4,F$5+(G$5-F$5)*($A458-F$4)/(G$4-F$4),0),0)</f>
        <v>0</v>
      </c>
      <c r="H457">
        <f t="shared" ref="H457" si="1720">IF($A458&gt;G$4,IF($A458&lt;=H$4,G$5+(H$5-G$5)*($A458-G$4)/(H$4-G$4),0),0)</f>
        <v>0</v>
      </c>
      <c r="I457">
        <f t="shared" ref="I457" si="1721">IF($A458&gt;H$4,IF($A458&lt;=I$4,H$5+(I$5-H$5)*($A458-H$4)/(I$4-H$4),0),0)</f>
        <v>0</v>
      </c>
      <c r="J457">
        <f t="shared" ref="J457" si="1722">IF($A458&gt;I$4,IF($A458&lt;=J$4,I$5+(J$5-I$5)*($A458-I$4)/(J$4-I$4),0),0)</f>
        <v>0</v>
      </c>
      <c r="K457">
        <f t="shared" ref="K457" si="1723">IF($A458&gt;J$4,IF($A458&lt;=K$4,J$5+(K$5-J$5)*($A458-J$4)/(K$4-J$4),0),0)</f>
        <v>0</v>
      </c>
      <c r="L457">
        <f>IF($A458&gt;K$4,IF($A458&lt;=L$4,K$5+(L$5-K$5)*($A458-K$4)/(L$4-K$4),L$5),0)</f>
        <v>11.715634515971669</v>
      </c>
      <c r="M457" s="32">
        <f t="shared" si="1619"/>
        <v>11.715634515971669</v>
      </c>
    </row>
    <row r="458" spans="1:13" ht="15.75" thickBot="1" x14ac:dyDescent="0.3">
      <c r="A458">
        <f>K439</f>
        <v>7.2806701011960806</v>
      </c>
      <c r="B458" t="s">
        <v>72</v>
      </c>
      <c r="C458">
        <f>IF($A458&lt;=C$4,C$6,0)</f>
        <v>0</v>
      </c>
      <c r="D458">
        <f>IF($A458&gt;C$4,IF($A458&lt;=D$4,C$6+(D$6-C$6)*($A458-C$4)/(D$4-C$4),0),0)</f>
        <v>0</v>
      </c>
      <c r="E458">
        <f t="shared" ref="E458" si="1724">IF($A458&gt;D$4,IF($A458&lt;=E$4,D$6+(E$6-D$6)*($A458-D$4)/(E$4-D$4),0),0)</f>
        <v>0</v>
      </c>
      <c r="F458">
        <f t="shared" ref="F458" si="1725">IF($A458&gt;E$4,IF($A458&lt;=F$4,E$6+(F$6-E$6)*($A458-E$4)/(F$4-E$4),0),0)</f>
        <v>0</v>
      </c>
      <c r="G458">
        <f t="shared" ref="G458" si="1726">IF($A458&gt;F$4,IF($A458&lt;=G$4,F$6+(G$6-F$6)*($A458-F$4)/(G$4-F$4),0),0)</f>
        <v>0</v>
      </c>
      <c r="H458">
        <f t="shared" ref="H458" si="1727">IF($A458&gt;G$4,IF($A458&lt;=H$4,G$6+(H$6-G$6)*($A458-G$4)/(H$4-G$4),0),0)</f>
        <v>0</v>
      </c>
      <c r="I458">
        <f t="shared" ref="I458" si="1728">IF($A458&gt;H$4,IF($A458&lt;=I$4,H$6+(I$6-H$6)*($A458-H$4)/(I$4-H$4),0),0)</f>
        <v>0</v>
      </c>
      <c r="J458">
        <f t="shared" ref="J458" si="1729">IF($A458&gt;I$4,IF($A458&lt;=J$4,I$6+(J$6-I$6)*($A458-I$4)/(J$4-I$4),0),0)</f>
        <v>0</v>
      </c>
      <c r="K458">
        <f t="shared" ref="K458" si="1730">IF($A458&gt;J$4,IF($A458&lt;=K$4,J$6+(K$6-J$6)*($A458-J$4)/(K$4-J$4),0),0)</f>
        <v>0</v>
      </c>
      <c r="L458">
        <f>IF($A458&gt;K$4,IF($A458&lt;=L$4,K$6+(L$6-K$6)*($A458-K$4)/(L$4-K$4),L$6),0)</f>
        <v>12.919898555232367</v>
      </c>
      <c r="M458" s="34">
        <f t="shared" si="1619"/>
        <v>12.919898555232367</v>
      </c>
    </row>
    <row r="459" spans="1:13" x14ac:dyDescent="0.25">
      <c r="A459" s="57" t="s">
        <v>89</v>
      </c>
      <c r="B459" t="s">
        <v>71</v>
      </c>
      <c r="C459">
        <f>IF($A460&lt;=C$4,C$5,0)</f>
        <v>0</v>
      </c>
      <c r="D459">
        <f>IF($A460&gt;C$4,IF($A460&lt;=D$4,C$5+(D$5-C$5)*($A460-C$4)/(D$4-C$4),0),0)</f>
        <v>0</v>
      </c>
      <c r="E459">
        <f>IF($A460&gt;D$4,IF($A460&lt;=E$4,D$5+(E$5-D$5)*($A460-D$4)/(E$4-D$4),0),0)</f>
        <v>0</v>
      </c>
      <c r="F459">
        <f t="shared" ref="F459" si="1731">IF($A460&gt;E$4,IF($A460&lt;=F$4,E$5+(F$5-E$5)*($A460-E$4)/(F$4-E$4),0),0)</f>
        <v>0</v>
      </c>
      <c r="G459">
        <f t="shared" ref="G459" si="1732">IF($A460&gt;F$4,IF($A460&lt;=G$4,F$5+(G$5-F$5)*($A460-F$4)/(G$4-F$4),0),0)</f>
        <v>0</v>
      </c>
      <c r="H459">
        <f t="shared" ref="H459" si="1733">IF($A460&gt;G$4,IF($A460&lt;=H$4,G$5+(H$5-G$5)*($A460-G$4)/(H$4-G$4),0),0)</f>
        <v>0</v>
      </c>
      <c r="I459">
        <f t="shared" ref="I459" si="1734">IF($A460&gt;H$4,IF($A460&lt;=I$4,H$5+(I$5-H$5)*($A460-H$4)/(I$4-H$4),0),0)</f>
        <v>0</v>
      </c>
      <c r="J459">
        <f t="shared" ref="J459" si="1735">IF($A460&gt;I$4,IF($A460&lt;=J$4,I$5+(J$5-I$5)*($A460-I$4)/(J$4-I$4),0),0)</f>
        <v>0</v>
      </c>
      <c r="K459">
        <f t="shared" ref="K459" si="1736">IF($A460&gt;J$4,IF($A460&lt;=K$4,J$5+(K$5-J$5)*($A460-J$4)/(K$4-J$4),0),0)</f>
        <v>0</v>
      </c>
      <c r="L459">
        <f>IF($A460&gt;K$4,IF($A460&lt;=L$4,K$5+(L$5-K$5)*($A460-K$4)/(L$4-K$4),L$5),0)</f>
        <v>11.7</v>
      </c>
      <c r="M459" s="32">
        <f t="shared" si="1619"/>
        <v>11.7</v>
      </c>
    </row>
    <row r="460" spans="1:13" ht="15.75" thickBot="1" x14ac:dyDescent="0.3">
      <c r="A460">
        <f>L439</f>
        <v>9.1318575618277791</v>
      </c>
      <c r="B460" t="s">
        <v>72</v>
      </c>
      <c r="C460">
        <f>IF($A460&lt;=C$4,C$6,0)</f>
        <v>0</v>
      </c>
      <c r="D460">
        <f>IF($A460&gt;C$4,IF($A460&lt;=D$4,C$6+(D$6-C$6)*($A460-C$4)/(D$4-C$4),0),0)</f>
        <v>0</v>
      </c>
      <c r="E460">
        <f t="shared" ref="E460" si="1737">IF($A460&gt;D$4,IF($A460&lt;=E$4,D$6+(E$6-D$6)*($A460-D$4)/(E$4-D$4),0),0)</f>
        <v>0</v>
      </c>
      <c r="F460">
        <f t="shared" ref="F460" si="1738">IF($A460&gt;E$4,IF($A460&lt;=F$4,E$6+(F$6-E$6)*($A460-E$4)/(F$4-E$4),0),0)</f>
        <v>0</v>
      </c>
      <c r="G460">
        <f t="shared" ref="G460" si="1739">IF($A460&gt;F$4,IF($A460&lt;=G$4,F$6+(G$6-F$6)*($A460-F$4)/(G$4-F$4),0),0)</f>
        <v>0</v>
      </c>
      <c r="H460">
        <f t="shared" ref="H460" si="1740">IF($A460&gt;G$4,IF($A460&lt;=H$4,G$6+(H$6-G$6)*($A460-G$4)/(H$4-G$4),0),0)</f>
        <v>0</v>
      </c>
      <c r="I460">
        <f t="shared" ref="I460" si="1741">IF($A460&gt;H$4,IF($A460&lt;=I$4,H$6+(I$6-H$6)*($A460-H$4)/(I$4-H$4),0),0)</f>
        <v>0</v>
      </c>
      <c r="J460">
        <f t="shared" ref="J460" si="1742">IF($A460&gt;I$4,IF($A460&lt;=J$4,I$6+(J$6-I$6)*($A460-I$4)/(J$4-I$4),0),0)</f>
        <v>0</v>
      </c>
      <c r="K460">
        <f t="shared" ref="K460" si="1743">IF($A460&gt;J$4,IF($A460&lt;=K$4,J$6+(K$6-J$6)*($A460-J$4)/(K$4-J$4),0),0)</f>
        <v>0</v>
      </c>
      <c r="L460">
        <f>IF($A460&gt;K$4,IF($A460&lt;=L$4,K$6+(L$6-K$6)*($A460-K$4)/(L$4-K$4),L$6),0)</f>
        <v>13.6</v>
      </c>
      <c r="M460" s="34">
        <f t="shared" si="1619"/>
        <v>13.6</v>
      </c>
    </row>
    <row r="462" spans="1:13" x14ac:dyDescent="0.25">
      <c r="B462" t="s">
        <v>90</v>
      </c>
    </row>
    <row r="463" spans="1:13" ht="15.75" thickBot="1" x14ac:dyDescent="0.3">
      <c r="C463" s="25">
        <v>1</v>
      </c>
      <c r="D463" s="25">
        <v>2</v>
      </c>
      <c r="E463" s="25">
        <v>3</v>
      </c>
      <c r="F463" s="25">
        <v>4</v>
      </c>
      <c r="G463" s="25">
        <v>5</v>
      </c>
      <c r="H463" s="25">
        <v>6</v>
      </c>
      <c r="I463" s="25">
        <v>7</v>
      </c>
      <c r="J463" s="25">
        <v>8</v>
      </c>
      <c r="K463" s="25">
        <v>9</v>
      </c>
      <c r="L463" s="25">
        <v>10</v>
      </c>
    </row>
    <row r="464" spans="1:13" x14ac:dyDescent="0.25">
      <c r="B464" t="s">
        <v>71</v>
      </c>
      <c r="C464" s="58">
        <f>M441</f>
        <v>12.32606726519076</v>
      </c>
      <c r="D464" s="59">
        <f>M443</f>
        <v>12.176697073928153</v>
      </c>
      <c r="E464" s="59">
        <f>M445</f>
        <v>12.057542355470146</v>
      </c>
      <c r="F464" s="59">
        <f>M447</f>
        <v>12</v>
      </c>
      <c r="G464" s="59">
        <f>M449</f>
        <v>11.970978388041855</v>
      </c>
      <c r="H464" s="59">
        <f>M451</f>
        <v>11.896983178038345</v>
      </c>
      <c r="I464" s="59">
        <f>M453</f>
        <v>11.816078563357411</v>
      </c>
      <c r="J464" s="59">
        <f>M455</f>
        <v>11.766457802275765</v>
      </c>
      <c r="K464" s="59">
        <f>M457</f>
        <v>11.715634515971669</v>
      </c>
      <c r="L464" s="60">
        <f>M459</f>
        <v>11.7</v>
      </c>
    </row>
    <row r="465" spans="1:13" ht="15.75" thickBot="1" x14ac:dyDescent="0.3">
      <c r="B465" t="s">
        <v>72</v>
      </c>
      <c r="C465" s="52">
        <f>M442</f>
        <v>3.64786546961848</v>
      </c>
      <c r="D465" s="53">
        <f t="shared" ref="D465" si="1744">M444</f>
        <v>3.9466058521436929</v>
      </c>
      <c r="E465" s="53">
        <f>M446</f>
        <v>4.2698305781194152</v>
      </c>
      <c r="F465" s="53">
        <f>M448</f>
        <v>4.9029807855614944</v>
      </c>
      <c r="G465" s="53">
        <f>M450</f>
        <v>5.6902161195814518</v>
      </c>
      <c r="H465" s="53">
        <f>M452</f>
        <v>6.4859794259071784</v>
      </c>
      <c r="I465" s="53">
        <f>M454</f>
        <v>8.7917609443137898</v>
      </c>
      <c r="J465" s="53">
        <f>M456</f>
        <v>10.709085601004226</v>
      </c>
      <c r="K465" s="53">
        <f>M458</f>
        <v>12.919898555232367</v>
      </c>
      <c r="L465" s="54">
        <f>M460</f>
        <v>13.6</v>
      </c>
    </row>
    <row r="466" spans="1:13" x14ac:dyDescent="0.25">
      <c r="B466" t="s">
        <v>161</v>
      </c>
      <c r="C466">
        <f>100-C464-C465</f>
        <v>84.026067265190761</v>
      </c>
      <c r="D466">
        <f t="shared" ref="D466:L466" si="1745">100-D464-D465</f>
        <v>83.876697073928156</v>
      </c>
      <c r="E466">
        <f t="shared" si="1745"/>
        <v>83.672627066410442</v>
      </c>
      <c r="F466">
        <f t="shared" si="1745"/>
        <v>83.097019214438504</v>
      </c>
      <c r="G466">
        <f t="shared" si="1745"/>
        <v>82.338805492376693</v>
      </c>
      <c r="H466">
        <f t="shared" si="1745"/>
        <v>81.617037396054485</v>
      </c>
      <c r="I466">
        <f t="shared" si="1745"/>
        <v>79.392160492328799</v>
      </c>
      <c r="J466">
        <f t="shared" si="1745"/>
        <v>77.52445659672</v>
      </c>
      <c r="K466">
        <f t="shared" si="1745"/>
        <v>75.364466928795963</v>
      </c>
      <c r="L466">
        <f t="shared" si="1745"/>
        <v>74.7</v>
      </c>
    </row>
    <row r="470" spans="1:13" ht="18.75" x14ac:dyDescent="0.3">
      <c r="B470" s="56">
        <v>2030</v>
      </c>
    </row>
    <row r="471" spans="1:13" x14ac:dyDescent="0.25">
      <c r="C471" s="25">
        <v>1</v>
      </c>
      <c r="D471" s="25">
        <v>2</v>
      </c>
      <c r="E471" s="25">
        <v>3</v>
      </c>
      <c r="F471" s="25">
        <v>4</v>
      </c>
      <c r="G471" s="25">
        <v>5</v>
      </c>
      <c r="H471" s="25">
        <v>6</v>
      </c>
      <c r="I471" s="25">
        <v>7</v>
      </c>
      <c r="J471" s="25">
        <v>8</v>
      </c>
      <c r="K471" s="25">
        <v>9</v>
      </c>
      <c r="L471" s="25">
        <v>10</v>
      </c>
    </row>
    <row r="472" spans="1:13" x14ac:dyDescent="0.25">
      <c r="B472" t="s">
        <v>79</v>
      </c>
      <c r="C472" s="8">
        <f>INDEX(decdoh2030,'матрица расходов'!C471)/расслоение!$M$474</f>
        <v>1.0726995251187226</v>
      </c>
      <c r="D472" s="8">
        <f>INDEX(decdoh2030,'матрица расходов'!D471)/расслоение!$M$474</f>
        <v>1.5079702534414294</v>
      </c>
      <c r="E472" s="8">
        <f>INDEX(decdoh2030,'матрица расходов'!E471)/расслоение!$M$474</f>
        <v>1.9884622097957687</v>
      </c>
      <c r="F472" s="8">
        <f>INDEX(decdoh2030,'матрица расходов'!F471)/расслоение!$M$474</f>
        <v>2.5312443924029822</v>
      </c>
      <c r="G472" s="8">
        <f>INDEX(decdoh2030,'матрица расходов'!G471)/расслоение!$M$474</f>
        <v>3.1598285856039832</v>
      </c>
      <c r="H472" s="8">
        <f>INDEX(decdoh2030,'матрица расходов'!H471)/расслоение!$M$474</f>
        <v>3.9066012244858475</v>
      </c>
      <c r="I472" s="8">
        <f>INDEX(decdoh2030,'матрица расходов'!I471)/расслоение!$M$474</f>
        <v>4.8161731800246326</v>
      </c>
      <c r="J472" s="8">
        <f>INDEX(decdoh2030,'матрица расходов'!J471)/расслоение!$M$474</f>
        <v>5.9499939388307537</v>
      </c>
      <c r="K472" s="8">
        <f>INDEX(decdoh2030,'матрица расходов'!K471)/расслоение!$M$474</f>
        <v>7.392707430109497</v>
      </c>
      <c r="L472" s="8">
        <f>INDEX(decdoh2030,'матрица расходов'!L471)/расслоение!$M$474</f>
        <v>9.2609068940409323</v>
      </c>
    </row>
    <row r="473" spans="1:13" ht="15.75" thickBot="1" x14ac:dyDescent="0.3"/>
    <row r="474" spans="1:13" x14ac:dyDescent="0.25">
      <c r="A474" s="57" t="s">
        <v>80</v>
      </c>
      <c r="B474" t="s">
        <v>71</v>
      </c>
      <c r="C474">
        <f>IF($A475&lt;=C$4,C$5,0)</f>
        <v>0</v>
      </c>
      <c r="D474">
        <f>IF($A475&gt;C$4,IF($A475&lt;=D$4,C$5+(D$5-C$5)*($A475-C$4)/(D$4-C$4),0),0)</f>
        <v>0</v>
      </c>
      <c r="E474">
        <f>IF($A475&gt;D$4,IF($A475&lt;=E$4,D$5+(E$5-D$5)*($A475-D$4)/(E$4-D$4),0),0)</f>
        <v>12.315541864533866</v>
      </c>
      <c r="F474">
        <f t="shared" ref="F474" si="1746">IF($A475&gt;E$4,IF($A475&lt;=F$4,E$5+(F$5-E$5)*($A475-E$4)/(F$4-E$4),0),0)</f>
        <v>0</v>
      </c>
      <c r="G474">
        <f t="shared" ref="G474" si="1747">IF($A475&gt;F$4,IF($A475&lt;=G$4,F$5+(G$5-F$5)*($A475-F$4)/(G$4-F$4),0),0)</f>
        <v>0</v>
      </c>
      <c r="H474">
        <f t="shared" ref="H474" si="1748">IF($A475&gt;G$4,IF($A475&lt;=H$4,G$5+(H$5-G$5)*($A475-G$4)/(H$4-G$4),0),0)</f>
        <v>0</v>
      </c>
      <c r="I474">
        <f t="shared" ref="I474" si="1749">IF($A475&gt;H$4,IF($A475&lt;=I$4,H$5+(I$5-H$5)*($A475-H$4)/(I$4-H$4),0),0)</f>
        <v>0</v>
      </c>
      <c r="J474">
        <f t="shared" ref="J474" si="1750">IF($A475&gt;I$4,IF($A475&lt;=J$4,I$5+(J$5-I$5)*($A475-I$4)/(J$4-I$4),0),0)</f>
        <v>0</v>
      </c>
      <c r="K474">
        <f t="shared" ref="K474" si="1751">IF($A475&gt;J$4,IF($A475&lt;=K$4,J$5+(K$5-J$5)*($A475-J$4)/(K$4-J$4),0),0)</f>
        <v>0</v>
      </c>
      <c r="L474">
        <f>IF($A475&gt;K$4,IF($A475&lt;=L$4,K$5+(L$5-K$5)*($A475-K$4)/(L$4-K$4),L$5),0)</f>
        <v>0</v>
      </c>
      <c r="M474" s="32">
        <f t="shared" ref="M474:M493" si="1752">SUM(C474:L474)</f>
        <v>12.315541864533866</v>
      </c>
    </row>
    <row r="475" spans="1:13" ht="15.75" thickBot="1" x14ac:dyDescent="0.3">
      <c r="A475">
        <f>C472</f>
        <v>1.0726995251187226</v>
      </c>
      <c r="B475" t="s">
        <v>72</v>
      </c>
      <c r="C475">
        <f>IF($A475&lt;=C$4,C$6,0)</f>
        <v>0</v>
      </c>
      <c r="D475">
        <f>IF($A475&gt;C$4,IF($A475&lt;=D$4,C$6+(D$6-C$6)*($A475-C$4)/(D$4-C$4),0),0)</f>
        <v>0</v>
      </c>
      <c r="E475">
        <f t="shared" ref="E475" si="1753">IF($A475&gt;D$4,IF($A475&lt;=E$4,D$6+(E$6-D$6)*($A475-D$4)/(E$4-D$4),0),0)</f>
        <v>3.6689162709322689</v>
      </c>
      <c r="F475">
        <f t="shared" ref="F475" si="1754">IF($A475&gt;E$4,IF($A475&lt;=F$4,E$6+(F$6-E$6)*($A475-E$4)/(F$4-E$4),0),0)</f>
        <v>0</v>
      </c>
      <c r="G475">
        <f t="shared" ref="G475" si="1755">IF($A475&gt;F$4,IF($A475&lt;=G$4,F$6+(G$6-F$6)*($A475-F$4)/(G$4-F$4),0),0)</f>
        <v>0</v>
      </c>
      <c r="H475">
        <f t="shared" ref="H475" si="1756">IF($A475&gt;G$4,IF($A475&lt;=H$4,G$6+(H$6-G$6)*($A475-G$4)/(H$4-G$4),0),0)</f>
        <v>0</v>
      </c>
      <c r="I475">
        <f t="shared" ref="I475" si="1757">IF($A475&gt;H$4,IF($A475&lt;=I$4,H$6+(I$6-H$6)*($A475-H$4)/(I$4-H$4),0),0)</f>
        <v>0</v>
      </c>
      <c r="J475">
        <f t="shared" ref="J475" si="1758">IF($A475&gt;I$4,IF($A475&lt;=J$4,I$6+(J$6-I$6)*($A475-I$4)/(J$4-I$4),0),0)</f>
        <v>0</v>
      </c>
      <c r="K475">
        <f t="shared" ref="K475" si="1759">IF($A475&gt;J$4,IF($A475&lt;=K$4,J$6+(K$6-J$6)*($A475-J$4)/(K$4-J$4),0),0)</f>
        <v>0</v>
      </c>
      <c r="L475">
        <f>IF($A475&gt;K$4,IF($A475&lt;=L$4,K$6+(L$6-K$6)*($A475-K$4)/(L$4-K$4),L$6),0)</f>
        <v>0</v>
      </c>
      <c r="M475" s="34">
        <f t="shared" si="1752"/>
        <v>3.6689162709322689</v>
      </c>
    </row>
    <row r="476" spans="1:13" x14ac:dyDescent="0.25">
      <c r="A476" s="57" t="s">
        <v>81</v>
      </c>
      <c r="B476" t="s">
        <v>71</v>
      </c>
      <c r="C476">
        <f>IF($A477&lt;=C$4,C$5,0)</f>
        <v>0</v>
      </c>
      <c r="D476">
        <f>IF($A477&gt;C$4,IF($A477&lt;=D$4,C$5+(D$5-C$5)*($A477-C$4)/(D$4-C$4),0),0)</f>
        <v>0</v>
      </c>
      <c r="E476">
        <f>IF($A477&gt;D$4,IF($A477&lt;=E$4,D$5+(E$5-D$5)*($A477-D$4)/(E$4-D$4),0),0)</f>
        <v>0</v>
      </c>
      <c r="F476">
        <f t="shared" ref="F476" si="1760">IF($A477&gt;E$4,IF($A477&lt;=F$4,E$5+(F$5-E$5)*($A477-E$4)/(F$4-E$4),0),0)</f>
        <v>0</v>
      </c>
      <c r="G476">
        <f t="shared" ref="G476" si="1761">IF($A477&gt;F$4,IF($A477&lt;=G$4,F$5+(G$5-F$5)*($A477-F$4)/(G$4-F$4),0),0)</f>
        <v>12.167230485155159</v>
      </c>
      <c r="H476">
        <f t="shared" ref="H476" si="1762">IF($A477&gt;G$4,IF($A477&lt;=H$4,G$5+(H$5-G$5)*($A477-G$4)/(H$4-G$4),0),0)</f>
        <v>0</v>
      </c>
      <c r="I476">
        <f t="shared" ref="I476" si="1763">IF($A477&gt;H$4,IF($A477&lt;=I$4,H$5+(I$5-H$5)*($A477-H$4)/(I$4-H$4),0),0)</f>
        <v>0</v>
      </c>
      <c r="J476">
        <f t="shared" ref="J476" si="1764">IF($A477&gt;I$4,IF($A477&lt;=J$4,I$5+(J$5-I$5)*($A477-I$4)/(J$4-I$4),0),0)</f>
        <v>0</v>
      </c>
      <c r="K476">
        <f t="shared" ref="K476" si="1765">IF($A477&gt;J$4,IF($A477&lt;=K$4,J$5+(K$5-J$5)*($A477-J$4)/(K$4-J$4),0),0)</f>
        <v>0</v>
      </c>
      <c r="L476">
        <f>IF($A477&gt;K$4,IF($A477&lt;=L$4,K$5+(L$5-K$5)*($A477-K$4)/(L$4-K$4),L$5),0)</f>
        <v>0</v>
      </c>
      <c r="M476" s="32">
        <f t="shared" si="1752"/>
        <v>12.167230485155159</v>
      </c>
    </row>
    <row r="477" spans="1:13" ht="15.75" thickBot="1" x14ac:dyDescent="0.3">
      <c r="A477">
        <f>D472</f>
        <v>1.5079702534414294</v>
      </c>
      <c r="B477" t="s">
        <v>72</v>
      </c>
      <c r="C477">
        <f>IF($A477&lt;=C$4,C$6,0)</f>
        <v>0</v>
      </c>
      <c r="D477">
        <f>IF($A477&gt;C$4,IF($A477&lt;=D$4,C$6+(D$6-C$6)*($A477-C$4)/(D$4-C$4),0),0)</f>
        <v>0</v>
      </c>
      <c r="E477">
        <f t="shared" ref="E477" si="1766">IF($A477&gt;D$4,IF($A477&lt;=E$4,D$6+(E$6-D$6)*($A477-D$4)/(E$4-D$4),0),0)</f>
        <v>0</v>
      </c>
      <c r="F477">
        <f t="shared" ref="F477" si="1767">IF($A477&gt;E$4,IF($A477&lt;=F$4,E$6+(F$6-E$6)*($A477-E$4)/(F$4-E$4),0),0)</f>
        <v>0</v>
      </c>
      <c r="G477">
        <f t="shared" ref="G477" si="1768">IF($A477&gt;F$4,IF($A477&lt;=G$4,F$6+(G$6-F$6)*($A477-F$4)/(G$4-F$4),0),0)</f>
        <v>3.9655390296896829</v>
      </c>
      <c r="H477">
        <f t="shared" ref="H477" si="1769">IF($A477&gt;G$4,IF($A477&lt;=H$4,G$6+(H$6-G$6)*($A477-G$4)/(H$4-G$4),0),0)</f>
        <v>0</v>
      </c>
      <c r="I477">
        <f t="shared" ref="I477" si="1770">IF($A477&gt;H$4,IF($A477&lt;=I$4,H$6+(I$6-H$6)*($A477-H$4)/(I$4-H$4),0),0)</f>
        <v>0</v>
      </c>
      <c r="J477">
        <f t="shared" ref="J477" si="1771">IF($A477&gt;I$4,IF($A477&lt;=J$4,I$6+(J$6-I$6)*($A477-I$4)/(J$4-I$4),0),0)</f>
        <v>0</v>
      </c>
      <c r="K477">
        <f t="shared" ref="K477" si="1772">IF($A477&gt;J$4,IF($A477&lt;=K$4,J$6+(K$6-J$6)*($A477-J$4)/(K$4-J$4),0),0)</f>
        <v>0</v>
      </c>
      <c r="L477">
        <f>IF($A477&gt;K$4,IF($A477&lt;=L$4,K$6+(L$6-K$6)*($A477-K$4)/(L$4-K$4),L$6),0)</f>
        <v>0</v>
      </c>
      <c r="M477" s="34">
        <f t="shared" si="1752"/>
        <v>3.9655390296896829</v>
      </c>
    </row>
    <row r="478" spans="1:13" x14ac:dyDescent="0.25">
      <c r="A478" s="57" t="s">
        <v>82</v>
      </c>
      <c r="B478" t="s">
        <v>71</v>
      </c>
      <c r="C478">
        <f>IF($A479&lt;=C$4,C$5,0)</f>
        <v>0</v>
      </c>
      <c r="D478">
        <f>IF($A479&gt;C$4,IF($A479&lt;=D$4,C$5+(D$5-C$5)*($A479-C$4)/(D$4-C$4),0),0)</f>
        <v>0</v>
      </c>
      <c r="E478">
        <f>IF($A479&gt;D$4,IF($A479&lt;=E$4,D$5+(E$5-D$5)*($A479-D$4)/(E$4-D$4),0),0)</f>
        <v>0</v>
      </c>
      <c r="F478">
        <f t="shared" ref="F478" si="1773">IF($A479&gt;E$4,IF($A479&lt;=F$4,E$5+(F$5-E$5)*($A479-E$4)/(F$4-E$4),0),0)</f>
        <v>0</v>
      </c>
      <c r="G478">
        <f t="shared" ref="G478" si="1774">IF($A479&gt;F$4,IF($A479&lt;=G$4,F$5+(G$5-F$5)*($A479-F$4)/(G$4-F$4),0),0)</f>
        <v>0</v>
      </c>
      <c r="H478">
        <f t="shared" ref="H478" si="1775">IF($A479&gt;G$4,IF($A479&lt;=H$4,G$5+(H$5-G$5)*($A479-G$4)/(H$4-G$4),0),0)</f>
        <v>12.048160389174832</v>
      </c>
      <c r="I478">
        <f t="shared" ref="I478" si="1776">IF($A479&gt;H$4,IF($A479&lt;=I$4,H$5+(I$5-H$5)*($A479-H$4)/(I$4-H$4),0),0)</f>
        <v>0</v>
      </c>
      <c r="J478">
        <f t="shared" ref="J478" si="1777">IF($A479&gt;I$4,IF($A479&lt;=J$4,I$5+(J$5-I$5)*($A479-I$4)/(J$4-I$4),0),0)</f>
        <v>0</v>
      </c>
      <c r="K478">
        <f t="shared" ref="K478" si="1778">IF($A479&gt;J$4,IF($A479&lt;=K$4,J$5+(K$5-J$5)*($A479-J$4)/(K$4-J$4),0),0)</f>
        <v>0</v>
      </c>
      <c r="L478">
        <f>IF($A479&gt;K$4,IF($A479&lt;=L$4,K$5+(L$5-K$5)*($A479-K$4)/(L$4-K$4),L$5),0)</f>
        <v>0</v>
      </c>
      <c r="M478" s="32">
        <f t="shared" si="1752"/>
        <v>12.048160389174832</v>
      </c>
    </row>
    <row r="479" spans="1:13" ht="15.75" thickBot="1" x14ac:dyDescent="0.3">
      <c r="A479">
        <f>E472</f>
        <v>1.9884622097957687</v>
      </c>
      <c r="B479" t="s">
        <v>72</v>
      </c>
      <c r="C479">
        <f>IF($A479&lt;=C$4,C$6,0)</f>
        <v>0</v>
      </c>
      <c r="D479">
        <f>IF($A479&gt;C$4,IF($A479&lt;=D$4,C$6+(D$6-C$6)*($A479-C$4)/(D$4-C$4),0),0)</f>
        <v>0</v>
      </c>
      <c r="E479">
        <f t="shared" ref="E479" si="1779">IF($A479&gt;D$4,IF($A479&lt;=E$4,D$6+(E$6-D$6)*($A479-D$4)/(E$4-D$4),0),0)</f>
        <v>0</v>
      </c>
      <c r="F479">
        <f t="shared" ref="F479" si="1780">IF($A479&gt;E$4,IF($A479&lt;=F$4,E$6+(F$6-E$6)*($A479-E$4)/(F$4-E$4),0),0)</f>
        <v>0</v>
      </c>
      <c r="G479">
        <f t="shared" ref="G479" si="1781">IF($A479&gt;F$4,IF($A479&lt;=G$4,F$6+(G$6-F$6)*($A479-F$4)/(G$4-F$4),0),0)</f>
        <v>0</v>
      </c>
      <c r="H479">
        <f t="shared" ref="H479" si="1782">IF($A479&gt;G$4,IF($A479&lt;=H$4,G$6+(H$6-G$6)*($A479-G$4)/(H$4-G$4),0),0)</f>
        <v>4.307358443300668</v>
      </c>
      <c r="I479">
        <f t="shared" ref="I479" si="1783">IF($A479&gt;H$4,IF($A479&lt;=I$4,H$6+(I$6-H$6)*($A479-H$4)/(I$4-H$4),0),0)</f>
        <v>0</v>
      </c>
      <c r="J479">
        <f t="shared" ref="J479" si="1784">IF($A479&gt;I$4,IF($A479&lt;=J$4,I$6+(J$6-I$6)*($A479-I$4)/(J$4-I$4),0),0)</f>
        <v>0</v>
      </c>
      <c r="K479">
        <f t="shared" ref="K479" si="1785">IF($A479&gt;J$4,IF($A479&lt;=K$4,J$6+(K$6-J$6)*($A479-J$4)/(K$4-J$4),0),0)</f>
        <v>0</v>
      </c>
      <c r="L479">
        <f>IF($A479&gt;K$4,IF($A479&lt;=L$4,K$6+(L$6-K$6)*($A479-K$4)/(L$4-K$4),L$6),0)</f>
        <v>0</v>
      </c>
      <c r="M479" s="34">
        <f t="shared" si="1752"/>
        <v>4.307358443300668</v>
      </c>
    </row>
    <row r="480" spans="1:13" x14ac:dyDescent="0.25">
      <c r="A480" s="57" t="s">
        <v>83</v>
      </c>
      <c r="B480" t="s">
        <v>71</v>
      </c>
      <c r="C480">
        <f>IF($A481&lt;=C$4,C$5,0)</f>
        <v>0</v>
      </c>
      <c r="D480">
        <f>IF($A481&gt;C$4,IF($A481&lt;=D$4,C$5+(D$5-C$5)*($A481-C$4)/(D$4-C$4),0),0)</f>
        <v>0</v>
      </c>
      <c r="E480">
        <f>IF($A481&gt;D$4,IF($A481&lt;=E$4,D$5+(E$5-D$5)*($A481-D$4)/(E$4-D$4),0),0)</f>
        <v>0</v>
      </c>
      <c r="F480">
        <f t="shared" ref="F480" si="1786">IF($A481&gt;E$4,IF($A481&lt;=F$4,E$5+(F$5-E$5)*($A481-E$4)/(F$4-E$4),0),0)</f>
        <v>0</v>
      </c>
      <c r="G480">
        <f t="shared" ref="G480" si="1787">IF($A481&gt;F$4,IF($A481&lt;=G$4,F$5+(G$5-F$5)*($A481-F$4)/(G$4-F$4),0),0)</f>
        <v>0</v>
      </c>
      <c r="H480">
        <f t="shared" ref="H480" si="1788">IF($A481&gt;G$4,IF($A481&lt;=H$4,G$5+(H$5-G$5)*($A481-G$4)/(H$4-G$4),0),0)</f>
        <v>0</v>
      </c>
      <c r="I480">
        <f t="shared" ref="I480" si="1789">IF($A481&gt;H$4,IF($A481&lt;=I$4,H$5+(I$5-H$5)*($A481-H$4)/(I$4-H$4),0),0)</f>
        <v>12</v>
      </c>
      <c r="J480">
        <f t="shared" ref="J480" si="1790">IF($A481&gt;I$4,IF($A481&lt;=J$4,I$5+(J$5-I$5)*($A481-I$4)/(J$4-I$4),0),0)</f>
        <v>0</v>
      </c>
      <c r="K480">
        <f t="shared" ref="K480" si="1791">IF($A481&gt;J$4,IF($A481&lt;=K$4,J$5+(K$5-J$5)*($A481-J$4)/(K$4-J$4),0),0)</f>
        <v>0</v>
      </c>
      <c r="L480">
        <f>IF($A481&gt;K$4,IF($A481&lt;=L$4,K$5+(L$5-K$5)*($A481-K$4)/(L$4-K$4),L$5),0)</f>
        <v>0</v>
      </c>
      <c r="M480" s="32">
        <f t="shared" si="1752"/>
        <v>12</v>
      </c>
    </row>
    <row r="481" spans="1:13" ht="15.75" thickBot="1" x14ac:dyDescent="0.3">
      <c r="A481">
        <f>F472</f>
        <v>2.5312443924029822</v>
      </c>
      <c r="B481" t="s">
        <v>72</v>
      </c>
      <c r="C481">
        <f>IF($A481&lt;=C$4,C$6,0)</f>
        <v>0</v>
      </c>
      <c r="D481">
        <f>IF($A481&gt;C$4,IF($A481&lt;=D$4,C$6+(D$6-C$6)*($A481-C$4)/(D$4-C$4),0),0)</f>
        <v>0</v>
      </c>
      <c r="E481">
        <f t="shared" ref="E481" si="1792">IF($A481&gt;D$4,IF($A481&lt;=E$4,D$6+(E$6-D$6)*($A481-D$4)/(E$4-D$4),0),0)</f>
        <v>0</v>
      </c>
      <c r="F481">
        <f t="shared" ref="F481" si="1793">IF($A481&gt;E$4,IF($A481&lt;=F$4,E$6+(F$6-E$6)*($A481-E$4)/(F$4-E$4),0),0)</f>
        <v>0</v>
      </c>
      <c r="G481">
        <f t="shared" ref="G481" si="1794">IF($A481&gt;F$4,IF($A481&lt;=G$4,F$6+(G$6-F$6)*($A481-F$4)/(G$4-F$4),0),0)</f>
        <v>0</v>
      </c>
      <c r="H481">
        <f t="shared" ref="H481" si="1795">IF($A481&gt;G$4,IF($A481&lt;=H$4,G$6+(H$6-G$6)*($A481-G$4)/(H$4-G$4),0),0)</f>
        <v>0</v>
      </c>
      <c r="I481">
        <f t="shared" ref="I481" si="1796">IF($A481&gt;H$4,IF($A481&lt;=I$4,H$6+(I$6-H$6)*($A481-H$4)/(I$4-H$4),0),0)</f>
        <v>4.9818665886044737</v>
      </c>
      <c r="J481">
        <f t="shared" ref="J481" si="1797">IF($A481&gt;I$4,IF($A481&lt;=J$4,I$6+(J$6-I$6)*($A481-I$4)/(J$4-I$4),0),0)</f>
        <v>0</v>
      </c>
      <c r="K481">
        <f t="shared" ref="K481" si="1798">IF($A481&gt;J$4,IF($A481&lt;=K$4,J$6+(K$6-J$6)*($A481-J$4)/(K$4-J$4),0),0)</f>
        <v>0</v>
      </c>
      <c r="L481">
        <f>IF($A481&gt;K$4,IF($A481&lt;=L$4,K$6+(L$6-K$6)*($A481-K$4)/(L$4-K$4),L$6),0)</f>
        <v>0</v>
      </c>
      <c r="M481" s="34">
        <f t="shared" si="1752"/>
        <v>4.9818665886044737</v>
      </c>
    </row>
    <row r="482" spans="1:13" x14ac:dyDescent="0.25">
      <c r="A482" s="57" t="s">
        <v>84</v>
      </c>
      <c r="B482" t="s">
        <v>71</v>
      </c>
      <c r="C482">
        <f>IF($A483&lt;=C$4,C$5,0)</f>
        <v>0</v>
      </c>
      <c r="D482">
        <f>IF($A483&gt;C$4,IF($A483&lt;=D$4,C$5+(D$5-C$5)*($A483-C$4)/(D$4-C$4),0),0)</f>
        <v>0</v>
      </c>
      <c r="E482">
        <f>IF($A483&gt;D$4,IF($A483&lt;=E$4,D$5+(E$5-D$5)*($A483-D$4)/(E$4-D$4),0),0)</f>
        <v>0</v>
      </c>
      <c r="F482">
        <f t="shared" ref="F482" si="1799">IF($A483&gt;E$4,IF($A483&lt;=F$4,E$5+(F$5-E$5)*($A483-E$4)/(F$4-E$4),0),0)</f>
        <v>0</v>
      </c>
      <c r="G482">
        <f t="shared" ref="G482" si="1800">IF($A483&gt;F$4,IF($A483&lt;=G$4,F$5+(G$5-F$5)*($A483-F$4)/(G$4-F$4),0),0)</f>
        <v>0</v>
      </c>
      <c r="H482">
        <f t="shared" ref="H482" si="1801">IF($A483&gt;G$4,IF($A483&lt;=H$4,G$5+(H$5-G$5)*($A483-G$4)/(H$4-G$4),0),0)</f>
        <v>0</v>
      </c>
      <c r="I482">
        <f t="shared" ref="I482" si="1802">IF($A483&gt;H$4,IF($A483&lt;=I$4,H$5+(I$5-H$5)*($A483-H$4)/(I$4-H$4),0),0)</f>
        <v>0</v>
      </c>
      <c r="J482">
        <f t="shared" ref="J482" si="1803">IF($A483&gt;I$4,IF($A483&lt;=J$4,I$5+(J$5-I$5)*($A483-I$4)/(J$4-I$4),0),0)</f>
        <v>11.964663779231921</v>
      </c>
      <c r="K482">
        <f t="shared" ref="K482" si="1804">IF($A483&gt;J$4,IF($A483&lt;=K$4,J$5+(K$5-J$5)*($A483-J$4)/(K$4-J$4),0),0)</f>
        <v>0</v>
      </c>
      <c r="L482">
        <f>IF($A483&gt;K$4,IF($A483&lt;=L$4,K$5+(L$5-K$5)*($A483-K$4)/(L$4-K$4),L$5),0)</f>
        <v>0</v>
      </c>
      <c r="M482" s="32">
        <f t="shared" si="1752"/>
        <v>11.964663779231921</v>
      </c>
    </row>
    <row r="483" spans="1:13" ht="15.75" thickBot="1" x14ac:dyDescent="0.3">
      <c r="A483">
        <f>G472</f>
        <v>3.1598285856039832</v>
      </c>
      <c r="B483" t="s">
        <v>72</v>
      </c>
      <c r="C483">
        <f>IF($A483&lt;=C$4,C$6,0)</f>
        <v>0</v>
      </c>
      <c r="D483">
        <f>IF($A483&gt;C$4,IF($A483&lt;=D$4,C$6+(D$6-C$6)*($A483-C$4)/(D$4-C$4),0),0)</f>
        <v>0</v>
      </c>
      <c r="E483">
        <f t="shared" ref="E483" si="1805">IF($A483&gt;D$4,IF($A483&lt;=E$4,D$6+(E$6-D$6)*($A483-D$4)/(E$4-D$4),0),0)</f>
        <v>0</v>
      </c>
      <c r="F483">
        <f t="shared" ref="F483" si="1806">IF($A483&gt;E$4,IF($A483&lt;=F$4,E$6+(F$6-E$6)*($A483-E$4)/(F$4-E$4),0),0)</f>
        <v>0</v>
      </c>
      <c r="G483">
        <f t="shared" ref="G483" si="1807">IF($A483&gt;F$4,IF($A483&lt;=G$4,F$6+(G$6-F$6)*($A483-F$4)/(G$4-F$4),0),0)</f>
        <v>0</v>
      </c>
      <c r="H483">
        <f t="shared" ref="H483" si="1808">IF($A483&gt;G$4,IF($A483&lt;=H$4,G$6+(H$6-G$6)*($A483-G$4)/(H$4-G$4),0),0)</f>
        <v>0</v>
      </c>
      <c r="I483">
        <f t="shared" ref="I483" si="1809">IF($A483&gt;H$4,IF($A483&lt;=I$4,H$6+(I$6-H$6)*($A483-H$4)/(I$4-H$4),0),0)</f>
        <v>0</v>
      </c>
      <c r="J483">
        <f t="shared" ref="J483" si="1810">IF($A483&gt;I$4,IF($A483&lt;=J$4,I$6+(J$6-I$6)*($A483-I$4)/(J$4-I$4),0),0)</f>
        <v>5.7533622076807918</v>
      </c>
      <c r="K483">
        <f t="shared" ref="K483" si="1811">IF($A483&gt;J$4,IF($A483&lt;=K$4,J$6+(K$6-J$6)*($A483-J$4)/(K$4-J$4),0),0)</f>
        <v>0</v>
      </c>
      <c r="L483">
        <f>IF($A483&gt;K$4,IF($A483&lt;=L$4,K$6+(L$6-K$6)*($A483-K$4)/(L$4-K$4),L$6),0)</f>
        <v>0</v>
      </c>
      <c r="M483" s="34">
        <f t="shared" si="1752"/>
        <v>5.7533622076807918</v>
      </c>
    </row>
    <row r="484" spans="1:13" x14ac:dyDescent="0.25">
      <c r="A484" s="57" t="s">
        <v>85</v>
      </c>
      <c r="B484" t="s">
        <v>71</v>
      </c>
      <c r="C484">
        <f>IF($A485&lt;=C$4,C$5,0)</f>
        <v>0</v>
      </c>
      <c r="D484">
        <f>IF($A485&gt;C$4,IF($A485&lt;=D$4,C$5+(D$5-C$5)*($A485-C$4)/(D$4-C$4),0),0)</f>
        <v>0</v>
      </c>
      <c r="E484">
        <f>IF($A485&gt;D$4,IF($A485&lt;=E$4,D$5+(E$5-D$5)*($A485-D$4)/(E$4-D$4),0),0)</f>
        <v>0</v>
      </c>
      <c r="F484">
        <f t="shared" ref="F484" si="1812">IF($A485&gt;E$4,IF($A485&lt;=F$4,E$5+(F$5-E$5)*($A485-E$4)/(F$4-E$4),0),0)</f>
        <v>0</v>
      </c>
      <c r="G484">
        <f t="shared" ref="G484" si="1813">IF($A485&gt;F$4,IF($A485&lt;=G$4,F$5+(G$5-F$5)*($A485-F$4)/(G$4-F$4),0),0)</f>
        <v>0</v>
      </c>
      <c r="H484">
        <f t="shared" ref="H484" si="1814">IF($A485&gt;G$4,IF($A485&lt;=H$4,G$5+(H$5-G$5)*($A485-G$4)/(H$4-G$4),0),0)</f>
        <v>0</v>
      </c>
      <c r="I484">
        <f t="shared" ref="I484" si="1815">IF($A485&gt;H$4,IF($A485&lt;=I$4,H$5+(I$5-H$5)*($A485-H$4)/(I$4-H$4),0),0)</f>
        <v>0</v>
      </c>
      <c r="J484">
        <f t="shared" ref="J484" si="1816">IF($A485&gt;I$4,IF($A485&lt;=J$4,I$5+(J$5-I$5)*($A485-I$4)/(J$4-I$4),0),0)</f>
        <v>0</v>
      </c>
      <c r="K484">
        <f t="shared" ref="K484" si="1817">IF($A485&gt;J$4,IF($A485&lt;=K$4,J$5+(K$5-J$5)*($A485-J$4)/(K$4-J$4),0),0)</f>
        <v>11.890396286082357</v>
      </c>
      <c r="L484">
        <f>IF($A485&gt;K$4,IF($A485&lt;=L$4,K$5+(L$5-K$5)*($A485-K$4)/(L$4-K$4),L$5),0)</f>
        <v>0</v>
      </c>
      <c r="M484" s="32">
        <f t="shared" si="1752"/>
        <v>11.890396286082357</v>
      </c>
    </row>
    <row r="485" spans="1:13" ht="15.75" thickBot="1" x14ac:dyDescent="0.3">
      <c r="A485">
        <f>H472</f>
        <v>3.9066012244858475</v>
      </c>
      <c r="B485" t="s">
        <v>72</v>
      </c>
      <c r="C485">
        <f>IF($A485&lt;=C$4,C$6,0)</f>
        <v>0</v>
      </c>
      <c r="D485">
        <f>IF($A485&gt;C$4,IF($A485&lt;=D$4,C$6+(D$6-C$6)*($A485-C$4)/(D$4-C$4),0),0)</f>
        <v>0</v>
      </c>
      <c r="E485">
        <f t="shared" ref="E485" si="1818">IF($A485&gt;D$4,IF($A485&lt;=E$4,D$6+(E$6-D$6)*($A485-D$4)/(E$4-D$4),0),0)</f>
        <v>0</v>
      </c>
      <c r="F485">
        <f t="shared" ref="F485" si="1819">IF($A485&gt;E$4,IF($A485&lt;=F$4,E$6+(F$6-E$6)*($A485-E$4)/(F$4-E$4),0),0)</f>
        <v>0</v>
      </c>
      <c r="G485">
        <f t="shared" ref="G485" si="1820">IF($A485&gt;F$4,IF($A485&lt;=G$4,F$6+(G$6-F$6)*($A485-F$4)/(G$4-F$4),0),0)</f>
        <v>0</v>
      </c>
      <c r="H485">
        <f t="shared" ref="H485" si="1821">IF($A485&gt;G$4,IF($A485&lt;=H$4,G$6+(H$6-G$6)*($A485-G$4)/(H$4-G$4),0),0)</f>
        <v>0</v>
      </c>
      <c r="I485">
        <f t="shared" ref="I485" si="1822">IF($A485&gt;H$4,IF($A485&lt;=I$4,H$6+(I$6-H$6)*($A485-H$4)/(I$4-H$4),0),0)</f>
        <v>0</v>
      </c>
      <c r="J485">
        <f t="shared" ref="J485" si="1823">IF($A485&gt;I$4,IF($A485&lt;=J$4,I$6+(J$6-I$6)*($A485-I$4)/(J$4-I$4),0),0)</f>
        <v>0</v>
      </c>
      <c r="K485">
        <f t="shared" ref="K485" si="1824">IF($A485&gt;J$4,IF($A485&lt;=K$4,J$6+(K$6-J$6)*($A485-J$4)/(K$4-J$4),0),0)</f>
        <v>6.6737058466528527</v>
      </c>
      <c r="L485">
        <f>IF($A485&gt;K$4,IF($A485&lt;=L$4,K$6+(L$6-K$6)*($A485-K$4)/(L$4-K$4),L$6),0)</f>
        <v>0</v>
      </c>
      <c r="M485" s="34">
        <f t="shared" si="1752"/>
        <v>6.6737058466528527</v>
      </c>
    </row>
    <row r="486" spans="1:13" x14ac:dyDescent="0.25">
      <c r="A486" s="57" t="s">
        <v>86</v>
      </c>
      <c r="B486" t="s">
        <v>71</v>
      </c>
      <c r="C486">
        <f>IF($A487&lt;=C$4,C$5,0)</f>
        <v>0</v>
      </c>
      <c r="D486">
        <f>IF($A487&gt;C$4,IF($A487&lt;=D$4,C$5+(D$5-C$5)*($A487-C$4)/(D$4-C$4),0),0)</f>
        <v>0</v>
      </c>
      <c r="E486">
        <f>IF($A487&gt;D$4,IF($A487&lt;=E$4,D$5+(E$5-D$5)*($A487-D$4)/(E$4-D$4),0),0)</f>
        <v>0</v>
      </c>
      <c r="F486">
        <f t="shared" ref="F486" si="1825">IF($A487&gt;E$4,IF($A487&lt;=F$4,E$5+(F$5-E$5)*($A487-E$4)/(F$4-E$4),0),0)</f>
        <v>0</v>
      </c>
      <c r="G486">
        <f t="shared" ref="G486" si="1826">IF($A487&gt;F$4,IF($A487&lt;=G$4,F$5+(G$5-F$5)*($A487-F$4)/(G$4-F$4),0),0)</f>
        <v>0</v>
      </c>
      <c r="H486">
        <f t="shared" ref="H486" si="1827">IF($A487&gt;G$4,IF($A487&lt;=H$4,G$5+(H$5-G$5)*($A487-G$4)/(H$4-G$4),0),0)</f>
        <v>0</v>
      </c>
      <c r="I486">
        <f t="shared" ref="I486" si="1828">IF($A487&gt;H$4,IF($A487&lt;=I$4,H$5+(I$5-H$5)*($A487-H$4)/(I$4-H$4),0),0)</f>
        <v>0</v>
      </c>
      <c r="J486">
        <f t="shared" ref="J486" si="1829">IF($A487&gt;I$4,IF($A487&lt;=J$4,I$5+(J$5-I$5)*($A487-I$4)/(J$4-I$4),0),0)</f>
        <v>0</v>
      </c>
      <c r="K486">
        <f t="shared" ref="K486" si="1830">IF($A487&gt;J$4,IF($A487&lt;=K$4,J$5+(K$5-J$5)*($A487-J$4)/(K$4-J$4),0),0)</f>
        <v>11.808452866664448</v>
      </c>
      <c r="L486">
        <f>IF($A487&gt;K$4,IF($A487&lt;=L$4,K$5+(L$5-K$5)*($A487-K$4)/(L$4-K$4),L$5),0)</f>
        <v>0</v>
      </c>
      <c r="M486" s="32">
        <f t="shared" si="1752"/>
        <v>11.808452866664448</v>
      </c>
    </row>
    <row r="487" spans="1:13" ht="15.75" thickBot="1" x14ac:dyDescent="0.3">
      <c r="A487">
        <f>I472</f>
        <v>4.8161731800246326</v>
      </c>
      <c r="B487" t="s">
        <v>72</v>
      </c>
      <c r="C487">
        <f>IF($A487&lt;=C$4,C$6,0)</f>
        <v>0</v>
      </c>
      <c r="D487">
        <f>IF($A487&gt;C$4,IF($A487&lt;=D$4,C$6+(D$6-C$6)*($A487-C$4)/(D$4-C$4),0),0)</f>
        <v>0</v>
      </c>
      <c r="E487">
        <f t="shared" ref="E487" si="1831">IF($A487&gt;D$4,IF($A487&lt;=E$4,D$6+(E$6-D$6)*($A487-D$4)/(E$4-D$4),0),0)</f>
        <v>0</v>
      </c>
      <c r="F487">
        <f t="shared" ref="F487" si="1832">IF($A487&gt;E$4,IF($A487&lt;=F$4,E$6+(F$6-E$6)*($A487-E$4)/(F$4-E$4),0),0)</f>
        <v>0</v>
      </c>
      <c r="G487">
        <f t="shared" ref="G487" si="1833">IF($A487&gt;F$4,IF($A487&lt;=G$4,F$6+(G$6-F$6)*($A487-F$4)/(G$4-F$4),0),0)</f>
        <v>0</v>
      </c>
      <c r="H487">
        <f t="shared" ref="H487" si="1834">IF($A487&gt;G$4,IF($A487&lt;=H$4,G$6+(H$6-G$6)*($A487-G$4)/(H$4-G$4),0),0)</f>
        <v>0</v>
      </c>
      <c r="I487">
        <f t="shared" ref="I487" si="1835">IF($A487&gt;H$4,IF($A487&lt;=I$4,H$6+(I$6-H$6)*($A487-H$4)/(I$4-H$4),0),0)</f>
        <v>0</v>
      </c>
      <c r="J487">
        <f t="shared" ref="J487" si="1836">IF($A487&gt;I$4,IF($A487&lt;=J$4,I$6+(J$6-I$6)*($A487-I$4)/(J$4-I$4),0),0)</f>
        <v>0</v>
      </c>
      <c r="K487">
        <f t="shared" ref="K487" si="1837">IF($A487&gt;J$4,IF($A487&lt;=K$4,J$6+(K$6-J$6)*($A487-J$4)/(K$4-J$4),0),0)</f>
        <v>9.0090933000632454</v>
      </c>
      <c r="L487">
        <f>IF($A487&gt;K$4,IF($A487&lt;=L$4,K$6+(L$6-K$6)*($A487-K$4)/(L$4-K$4),L$6),0)</f>
        <v>0</v>
      </c>
      <c r="M487" s="34">
        <f t="shared" si="1752"/>
        <v>9.0090933000632454</v>
      </c>
    </row>
    <row r="488" spans="1:13" x14ac:dyDescent="0.25">
      <c r="A488" s="57" t="s">
        <v>87</v>
      </c>
      <c r="B488" t="s">
        <v>71</v>
      </c>
      <c r="C488">
        <f>IF($A489&lt;=C$4,C$5,0)</f>
        <v>0</v>
      </c>
      <c r="D488">
        <f>IF($A489&gt;C$4,IF($A489&lt;=D$4,C$5+(D$5-C$5)*($A489-C$4)/(D$4-C$4),0),0)</f>
        <v>0</v>
      </c>
      <c r="E488">
        <f>IF($A489&gt;D$4,IF($A489&lt;=E$4,D$5+(E$5-D$5)*($A489-D$4)/(E$4-D$4),0),0)</f>
        <v>0</v>
      </c>
      <c r="F488">
        <f t="shared" ref="F488" si="1838">IF($A489&gt;E$4,IF($A489&lt;=F$4,E$5+(F$5-E$5)*($A489-E$4)/(F$4-E$4),0),0)</f>
        <v>0</v>
      </c>
      <c r="G488">
        <f t="shared" ref="G488" si="1839">IF($A489&gt;F$4,IF($A489&lt;=G$4,F$5+(G$5-F$5)*($A489-F$4)/(G$4-F$4),0),0)</f>
        <v>0</v>
      </c>
      <c r="H488">
        <f t="shared" ref="H488" si="1840">IF($A489&gt;G$4,IF($A489&lt;=H$4,G$5+(H$5-G$5)*($A489-G$4)/(H$4-G$4),0),0)</f>
        <v>0</v>
      </c>
      <c r="I488">
        <f t="shared" ref="I488" si="1841">IF($A489&gt;H$4,IF($A489&lt;=I$4,H$5+(I$5-H$5)*($A489-H$4)/(I$4-H$4),0),0)</f>
        <v>0</v>
      </c>
      <c r="J488">
        <f t="shared" ref="J488" si="1842">IF($A489&gt;I$4,IF($A489&lt;=J$4,I$5+(J$5-I$5)*($A489-I$4)/(J$4-I$4),0),0)</f>
        <v>0</v>
      </c>
      <c r="K488">
        <f t="shared" ref="K488" si="1843">IF($A489&gt;J$4,IF($A489&lt;=K$4,J$5+(K$5-J$5)*($A489-J$4)/(K$4-J$4),0),0)</f>
        <v>0</v>
      </c>
      <c r="L488">
        <f>IF($A489&gt;K$4,IF($A489&lt;=L$4,K$5+(L$5-K$5)*($A489-K$4)/(L$4-K$4),L$5),0)</f>
        <v>11.762989539543391</v>
      </c>
      <c r="M488" s="32">
        <f t="shared" si="1752"/>
        <v>11.762989539543391</v>
      </c>
    </row>
    <row r="489" spans="1:13" ht="15.75" thickBot="1" x14ac:dyDescent="0.3">
      <c r="A489">
        <f>J472</f>
        <v>5.9499939388307537</v>
      </c>
      <c r="B489" t="s">
        <v>72</v>
      </c>
      <c r="C489">
        <f>IF($A489&lt;=C$4,C$6,0)</f>
        <v>0</v>
      </c>
      <c r="D489">
        <f>IF($A489&gt;C$4,IF($A489&lt;=D$4,C$6+(D$6-C$6)*($A489-C$4)/(D$4-C$4),0),0)</f>
        <v>0</v>
      </c>
      <c r="E489">
        <f t="shared" ref="E489" si="1844">IF($A489&gt;D$4,IF($A489&lt;=E$4,D$6+(E$6-D$6)*($A489-D$4)/(E$4-D$4),0),0)</f>
        <v>0</v>
      </c>
      <c r="F489">
        <f t="shared" ref="F489" si="1845">IF($A489&gt;E$4,IF($A489&lt;=F$4,E$6+(F$6-E$6)*($A489-E$4)/(F$4-E$4),0),0)</f>
        <v>0</v>
      </c>
      <c r="G489">
        <f t="shared" ref="G489" si="1846">IF($A489&gt;F$4,IF($A489&lt;=G$4,F$6+(G$6-F$6)*($A489-F$4)/(G$4-F$4),0),0)</f>
        <v>0</v>
      </c>
      <c r="H489">
        <f t="shared" ref="H489" si="1847">IF($A489&gt;G$4,IF($A489&lt;=H$4,G$6+(H$6-G$6)*($A489-G$4)/(H$4-G$4),0),0)</f>
        <v>0</v>
      </c>
      <c r="I489">
        <f t="shared" ref="I489" si="1848">IF($A489&gt;H$4,IF($A489&lt;=I$4,H$6+(I$6-H$6)*($A489-H$4)/(I$4-H$4),0),0)</f>
        <v>0</v>
      </c>
      <c r="J489">
        <f t="shared" ref="J489" si="1849">IF($A489&gt;I$4,IF($A489&lt;=J$4,I$6+(J$6-I$6)*($A489-I$4)/(J$4-I$4),0),0)</f>
        <v>0</v>
      </c>
      <c r="K489">
        <f t="shared" ref="K489" si="1850">IF($A489&gt;J$4,IF($A489&lt;=K$4,J$6+(K$6-J$6)*($A489-J$4)/(K$4-J$4),0),0)</f>
        <v>0</v>
      </c>
      <c r="L489">
        <f>IF($A489&gt;K$4,IF($A489&lt;=L$4,K$6+(L$6-K$6)*($A489-K$4)/(L$4-K$4),L$6),0)</f>
        <v>10.859955029862554</v>
      </c>
      <c r="M489" s="34">
        <f t="shared" si="1752"/>
        <v>10.859955029862554</v>
      </c>
    </row>
    <row r="490" spans="1:13" x14ac:dyDescent="0.25">
      <c r="A490" s="57" t="s">
        <v>88</v>
      </c>
      <c r="B490" t="s">
        <v>71</v>
      </c>
      <c r="C490">
        <f>IF($A491&lt;=C$4,C$5,0)</f>
        <v>0</v>
      </c>
      <c r="D490">
        <f>IF($A491&gt;C$4,IF($A491&lt;=D$4,C$5+(D$5-C$5)*($A491-C$4)/(D$4-C$4),0),0)</f>
        <v>0</v>
      </c>
      <c r="E490">
        <f>IF($A491&gt;D$4,IF($A491&lt;=E$4,D$5+(E$5-D$5)*($A491-D$4)/(E$4-D$4),0),0)</f>
        <v>0</v>
      </c>
      <c r="F490">
        <f t="shared" ref="F490" si="1851">IF($A491&gt;E$4,IF($A491&lt;=F$4,E$5+(F$5-E$5)*($A491-E$4)/(F$4-E$4),0),0)</f>
        <v>0</v>
      </c>
      <c r="G490">
        <f t="shared" ref="G490" si="1852">IF($A491&gt;F$4,IF($A491&lt;=G$4,F$5+(G$5-F$5)*($A491-F$4)/(G$4-F$4),0),0)</f>
        <v>0</v>
      </c>
      <c r="H490">
        <f t="shared" ref="H490" si="1853">IF($A491&gt;G$4,IF($A491&lt;=H$4,G$5+(H$5-G$5)*($A491-G$4)/(H$4-G$4),0),0)</f>
        <v>0</v>
      </c>
      <c r="I490">
        <f t="shared" ref="I490" si="1854">IF($A491&gt;H$4,IF($A491&lt;=I$4,H$5+(I$5-H$5)*($A491-H$4)/(I$4-H$4),0),0)</f>
        <v>0</v>
      </c>
      <c r="J490">
        <f t="shared" ref="J490" si="1855">IF($A491&gt;I$4,IF($A491&lt;=J$4,I$5+(J$5-I$5)*($A491-I$4)/(J$4-I$4),0),0)</f>
        <v>0</v>
      </c>
      <c r="K490">
        <f t="shared" ref="K490" si="1856">IF($A491&gt;J$4,IF($A491&lt;=K$4,J$5+(K$5-J$5)*($A491-J$4)/(K$4-J$4),0),0)</f>
        <v>0</v>
      </c>
      <c r="L490">
        <f>IF($A491&gt;K$4,IF($A491&lt;=L$4,K$5+(L$5-K$5)*($A491-K$4)/(L$4-K$4),L$5),0)</f>
        <v>11.711647422416032</v>
      </c>
      <c r="M490" s="32">
        <f t="shared" si="1752"/>
        <v>11.711647422416032</v>
      </c>
    </row>
    <row r="491" spans="1:13" ht="15.75" thickBot="1" x14ac:dyDescent="0.3">
      <c r="A491">
        <f>K472</f>
        <v>7.392707430109497</v>
      </c>
      <c r="B491" t="s">
        <v>72</v>
      </c>
      <c r="C491">
        <f>IF($A491&lt;=C$4,C$6,0)</f>
        <v>0</v>
      </c>
      <c r="D491">
        <f>IF($A491&gt;C$4,IF($A491&lt;=D$4,C$6+(D$6-C$6)*($A491-C$4)/(D$4-C$4),0),0)</f>
        <v>0</v>
      </c>
      <c r="E491">
        <f t="shared" ref="E491" si="1857">IF($A491&gt;D$4,IF($A491&lt;=E$4,D$6+(E$6-D$6)*($A491-D$4)/(E$4-D$4),0),0)</f>
        <v>0</v>
      </c>
      <c r="F491">
        <f t="shared" ref="F491" si="1858">IF($A491&gt;E$4,IF($A491&lt;=F$4,E$6+(F$6-E$6)*($A491-E$4)/(F$4-E$4),0),0)</f>
        <v>0</v>
      </c>
      <c r="G491">
        <f t="shared" ref="G491" si="1859">IF($A491&gt;F$4,IF($A491&lt;=G$4,F$6+(G$6-F$6)*($A491-F$4)/(G$4-F$4),0),0)</f>
        <v>0</v>
      </c>
      <c r="H491">
        <f t="shared" ref="H491" si="1860">IF($A491&gt;G$4,IF($A491&lt;=H$4,G$6+(H$6-G$6)*($A491-G$4)/(H$4-G$4),0),0)</f>
        <v>0</v>
      </c>
      <c r="I491">
        <f t="shared" ref="I491" si="1861">IF($A491&gt;H$4,IF($A491&lt;=I$4,H$6+(I$6-H$6)*($A491-H$4)/(I$4-H$4),0),0)</f>
        <v>0</v>
      </c>
      <c r="J491">
        <f t="shared" ref="J491" si="1862">IF($A491&gt;I$4,IF($A491&lt;=J$4,I$6+(J$6-I$6)*($A491-I$4)/(J$4-I$4),0),0)</f>
        <v>0</v>
      </c>
      <c r="K491">
        <f t="shared" ref="K491" si="1863">IF($A491&gt;J$4,IF($A491&lt;=K$4,J$6+(K$6-J$6)*($A491-J$4)/(K$4-J$4),0),0)</f>
        <v>0</v>
      </c>
      <c r="L491">
        <f>IF($A491&gt;K$4,IF($A491&lt;=L$4,K$6+(L$6-K$6)*($A491-K$4)/(L$4-K$4),L$6),0)</f>
        <v>13.093337124902602</v>
      </c>
      <c r="M491" s="34">
        <f t="shared" si="1752"/>
        <v>13.093337124902602</v>
      </c>
    </row>
    <row r="492" spans="1:13" x14ac:dyDescent="0.25">
      <c r="A492" s="57" t="s">
        <v>89</v>
      </c>
      <c r="B492" t="s">
        <v>71</v>
      </c>
      <c r="C492">
        <f>IF($A493&lt;=C$4,C$5,0)</f>
        <v>0</v>
      </c>
      <c r="D492">
        <f>IF($A493&gt;C$4,IF($A493&lt;=D$4,C$5+(D$5-C$5)*($A493-C$4)/(D$4-C$4),0),0)</f>
        <v>0</v>
      </c>
      <c r="E492">
        <f>IF($A493&gt;D$4,IF($A493&lt;=E$4,D$5+(E$5-D$5)*($A493-D$4)/(E$4-D$4),0),0)</f>
        <v>0</v>
      </c>
      <c r="F492">
        <f t="shared" ref="F492" si="1864">IF($A493&gt;E$4,IF($A493&lt;=F$4,E$5+(F$5-E$5)*($A493-E$4)/(F$4-E$4),0),0)</f>
        <v>0</v>
      </c>
      <c r="G492">
        <f t="shared" ref="G492" si="1865">IF($A493&gt;F$4,IF($A493&lt;=G$4,F$5+(G$5-F$5)*($A493-F$4)/(G$4-F$4),0),0)</f>
        <v>0</v>
      </c>
      <c r="H492">
        <f t="shared" ref="H492" si="1866">IF($A493&gt;G$4,IF($A493&lt;=H$4,G$5+(H$5-G$5)*($A493-G$4)/(H$4-G$4),0),0)</f>
        <v>0</v>
      </c>
      <c r="I492">
        <f t="shared" ref="I492" si="1867">IF($A493&gt;H$4,IF($A493&lt;=I$4,H$5+(I$5-H$5)*($A493-H$4)/(I$4-H$4),0),0)</f>
        <v>0</v>
      </c>
      <c r="J492">
        <f t="shared" ref="J492" si="1868">IF($A493&gt;I$4,IF($A493&lt;=J$4,I$5+(J$5-I$5)*($A493-I$4)/(J$4-I$4),0),0)</f>
        <v>0</v>
      </c>
      <c r="K492">
        <f t="shared" ref="K492" si="1869">IF($A493&gt;J$4,IF($A493&lt;=K$4,J$5+(K$5-J$5)*($A493-J$4)/(K$4-J$4),0),0)</f>
        <v>0</v>
      </c>
      <c r="L492">
        <f>IF($A493&gt;K$4,IF($A493&lt;=L$4,K$5+(L$5-K$5)*($A493-K$4)/(L$4-K$4),L$5),0)</f>
        <v>11.7</v>
      </c>
      <c r="M492" s="32">
        <f t="shared" si="1752"/>
        <v>11.7</v>
      </c>
    </row>
    <row r="493" spans="1:13" ht="15.75" thickBot="1" x14ac:dyDescent="0.3">
      <c r="A493">
        <f>L472</f>
        <v>9.2609068940409323</v>
      </c>
      <c r="B493" t="s">
        <v>72</v>
      </c>
      <c r="C493">
        <f>IF($A493&lt;=C$4,C$6,0)</f>
        <v>0</v>
      </c>
      <c r="D493">
        <f>IF($A493&gt;C$4,IF($A493&lt;=D$4,C$6+(D$6-C$6)*($A493-C$4)/(D$4-C$4),0),0)</f>
        <v>0</v>
      </c>
      <c r="E493">
        <f t="shared" ref="E493" si="1870">IF($A493&gt;D$4,IF($A493&lt;=E$4,D$6+(E$6-D$6)*($A493-D$4)/(E$4-D$4),0),0)</f>
        <v>0</v>
      </c>
      <c r="F493">
        <f t="shared" ref="F493" si="1871">IF($A493&gt;E$4,IF($A493&lt;=F$4,E$6+(F$6-E$6)*($A493-E$4)/(F$4-E$4),0),0)</f>
        <v>0</v>
      </c>
      <c r="G493">
        <f t="shared" ref="G493" si="1872">IF($A493&gt;F$4,IF($A493&lt;=G$4,F$6+(G$6-F$6)*($A493-F$4)/(G$4-F$4),0),0)</f>
        <v>0</v>
      </c>
      <c r="H493">
        <f t="shared" ref="H493" si="1873">IF($A493&gt;G$4,IF($A493&lt;=H$4,G$6+(H$6-G$6)*($A493-G$4)/(H$4-G$4),0),0)</f>
        <v>0</v>
      </c>
      <c r="I493">
        <f t="shared" ref="I493" si="1874">IF($A493&gt;H$4,IF($A493&lt;=I$4,H$6+(I$6-H$6)*($A493-H$4)/(I$4-H$4),0),0)</f>
        <v>0</v>
      </c>
      <c r="J493">
        <f t="shared" ref="J493" si="1875">IF($A493&gt;I$4,IF($A493&lt;=J$4,I$6+(J$6-I$6)*($A493-I$4)/(J$4-I$4),0),0)</f>
        <v>0</v>
      </c>
      <c r="K493">
        <f t="shared" ref="K493" si="1876">IF($A493&gt;J$4,IF($A493&lt;=K$4,J$6+(K$6-J$6)*($A493-J$4)/(K$4-J$4),0),0)</f>
        <v>0</v>
      </c>
      <c r="L493">
        <f>IF($A493&gt;K$4,IF($A493&lt;=L$4,K$6+(L$6-K$6)*($A493-K$4)/(L$4-K$4),L$6),0)</f>
        <v>13.6</v>
      </c>
      <c r="M493" s="34">
        <f t="shared" si="1752"/>
        <v>13.6</v>
      </c>
    </row>
    <row r="495" spans="1:13" x14ac:dyDescent="0.25">
      <c r="B495" t="s">
        <v>90</v>
      </c>
    </row>
    <row r="496" spans="1:13" ht="15.75" thickBot="1" x14ac:dyDescent="0.3">
      <c r="C496" s="25">
        <v>1</v>
      </c>
      <c r="D496" s="25">
        <v>2</v>
      </c>
      <c r="E496" s="25">
        <v>3</v>
      </c>
      <c r="F496" s="25">
        <v>4</v>
      </c>
      <c r="G496" s="25">
        <v>5</v>
      </c>
      <c r="H496" s="25">
        <v>6</v>
      </c>
      <c r="I496" s="25">
        <v>7</v>
      </c>
      <c r="J496" s="25">
        <v>8</v>
      </c>
      <c r="K496" s="25">
        <v>9</v>
      </c>
      <c r="L496" s="25">
        <v>10</v>
      </c>
    </row>
    <row r="497" spans="2:12" x14ac:dyDescent="0.25">
      <c r="B497" t="s">
        <v>71</v>
      </c>
      <c r="C497" s="58">
        <f>M474</f>
        <v>12.315541864533866</v>
      </c>
      <c r="D497" s="59">
        <f>M476</f>
        <v>12.167230485155159</v>
      </c>
      <c r="E497" s="59">
        <f>M478</f>
        <v>12.048160389174832</v>
      </c>
      <c r="F497" s="59">
        <f>M480</f>
        <v>12</v>
      </c>
      <c r="G497" s="59">
        <f>M482</f>
        <v>11.964663779231921</v>
      </c>
      <c r="H497" s="59">
        <f>M484</f>
        <v>11.890396286082357</v>
      </c>
      <c r="I497" s="59">
        <f>M486</f>
        <v>11.808452866664448</v>
      </c>
      <c r="J497" s="59">
        <f>M488</f>
        <v>11.762989539543391</v>
      </c>
      <c r="K497" s="59">
        <f>M490</f>
        <v>11.711647422416032</v>
      </c>
      <c r="L497" s="60">
        <f>M492</f>
        <v>11.7</v>
      </c>
    </row>
    <row r="498" spans="2:12" ht="15.75" thickBot="1" x14ac:dyDescent="0.3">
      <c r="B498" t="s">
        <v>72</v>
      </c>
      <c r="C498" s="52">
        <f>M475</f>
        <v>3.6689162709322689</v>
      </c>
      <c r="D498" s="53">
        <f t="shared" ref="D498" si="1877">M477</f>
        <v>3.9655390296896829</v>
      </c>
      <c r="E498" s="53">
        <f>M479</f>
        <v>4.307358443300668</v>
      </c>
      <c r="F498" s="53">
        <f>M481</f>
        <v>4.9818665886044737</v>
      </c>
      <c r="G498" s="53">
        <f>M483</f>
        <v>5.7533622076807918</v>
      </c>
      <c r="H498" s="53">
        <f>M485</f>
        <v>6.6737058466528527</v>
      </c>
      <c r="I498" s="53">
        <f>M487</f>
        <v>9.0090933000632454</v>
      </c>
      <c r="J498" s="53">
        <f>M489</f>
        <v>10.859955029862554</v>
      </c>
      <c r="K498" s="53">
        <f>M491</f>
        <v>13.093337124902602</v>
      </c>
      <c r="L498" s="54">
        <f>M493</f>
        <v>13.6</v>
      </c>
    </row>
    <row r="499" spans="2:12" x14ac:dyDescent="0.25">
      <c r="B499" t="s">
        <v>161</v>
      </c>
      <c r="C499">
        <f>100-C497-C498</f>
        <v>84.015541864533859</v>
      </c>
      <c r="D499">
        <f t="shared" ref="D499:L499" si="1878">100-D497-D498</f>
        <v>83.867230485155162</v>
      </c>
      <c r="E499">
        <f t="shared" si="1878"/>
        <v>83.644481167524503</v>
      </c>
      <c r="F499">
        <f t="shared" si="1878"/>
        <v>83.018133411395524</v>
      </c>
      <c r="G499">
        <f t="shared" si="1878"/>
        <v>82.281974013087279</v>
      </c>
      <c r="H499">
        <f t="shared" si="1878"/>
        <v>81.435897867264785</v>
      </c>
      <c r="I499">
        <f t="shared" si="1878"/>
        <v>79.182453833272305</v>
      </c>
      <c r="J499">
        <f t="shared" si="1878"/>
        <v>77.377055430594055</v>
      </c>
      <c r="K499">
        <f t="shared" si="1878"/>
        <v>75.195015452681361</v>
      </c>
      <c r="L499">
        <f t="shared" si="1878"/>
        <v>74.7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8"/>
  <dimension ref="A1:P8"/>
  <sheetViews>
    <sheetView workbookViewId="0">
      <selection activeCell="E2" sqref="E2"/>
    </sheetView>
  </sheetViews>
  <sheetFormatPr defaultRowHeight="15" x14ac:dyDescent="0.25"/>
  <cols>
    <col min="1" max="1" width="15.140625" customWidth="1"/>
  </cols>
  <sheetData>
    <row r="1" spans="1:16" x14ac:dyDescent="0.25">
      <c r="A1" s="145" t="s">
        <v>21</v>
      </c>
      <c r="B1">
        <f>расслоение!B1</f>
        <v>2016</v>
      </c>
      <c r="C1">
        <f>расслоение!C1</f>
        <v>2017</v>
      </c>
      <c r="D1">
        <f>расслоение!D1</f>
        <v>2018</v>
      </c>
      <c r="E1">
        <f>расслоение!E1</f>
        <v>2019</v>
      </c>
      <c r="F1">
        <f>расслоение!F1</f>
        <v>2020</v>
      </c>
      <c r="G1">
        <f>расслоение!G1</f>
        <v>2021</v>
      </c>
      <c r="H1">
        <f>расслоение!H1</f>
        <v>2022</v>
      </c>
      <c r="I1">
        <f>расслоение!I1</f>
        <v>2023</v>
      </c>
      <c r="J1">
        <f>расслоение!J1</f>
        <v>2024</v>
      </c>
      <c r="K1">
        <f>расслоение!K1</f>
        <v>2025</v>
      </c>
      <c r="L1">
        <f>расслоение!L1</f>
        <v>2026</v>
      </c>
      <c r="M1">
        <f>расслоение!M1</f>
        <v>2027</v>
      </c>
      <c r="N1">
        <f>расслоение!N1</f>
        <v>2028</v>
      </c>
      <c r="O1">
        <f>расслоение!O1</f>
        <v>2029</v>
      </c>
      <c r="P1">
        <f>расслоение!P1</f>
        <v>2030</v>
      </c>
    </row>
    <row r="2" spans="1:16" x14ac:dyDescent="0.25">
      <c r="A2" s="145" t="s">
        <v>162</v>
      </c>
      <c r="B2">
        <f>расслоение!B2</f>
        <v>1.3651408101991704</v>
      </c>
      <c r="C2">
        <f>расслоение!C2</f>
        <v>1.3905924167841621</v>
      </c>
      <c r="D2">
        <f>расслоение!D2</f>
        <v>1.3322320995444401</v>
      </c>
      <c r="E2">
        <f>расслоение!E2</f>
        <v>1.3774554333045044</v>
      </c>
      <c r="F2">
        <f>расслоение!F2</f>
        <v>1.3774554333045044</v>
      </c>
      <c r="G2">
        <f>расслоение!G2</f>
        <v>1.3322320995444401</v>
      </c>
      <c r="H2">
        <f>расслоение!H2</f>
        <v>1.3774554333045044</v>
      </c>
      <c r="I2">
        <f>расслоение!I2</f>
        <v>1.3774554333045044</v>
      </c>
      <c r="J2">
        <f>расслоение!J2</f>
        <v>1.3774554333045044</v>
      </c>
      <c r="K2">
        <f>расслоение!K2</f>
        <v>1.3774554333045044</v>
      </c>
      <c r="L2">
        <f>расслоение!L2</f>
        <v>1.3774554333045044</v>
      </c>
      <c r="M2">
        <f>расслоение!M2</f>
        <v>1.3774554333045044</v>
      </c>
      <c r="N2">
        <f>расслоение!N2</f>
        <v>1.3774554333045044</v>
      </c>
      <c r="O2">
        <f>расслоение!O2</f>
        <v>1.3774554333045044</v>
      </c>
      <c r="P2">
        <f>расслоение!P2</f>
        <v>1.3774554333045044</v>
      </c>
    </row>
    <row r="3" spans="1:16" x14ac:dyDescent="0.25">
      <c r="A3" s="145" t="s">
        <v>61</v>
      </c>
      <c r="B3">
        <f>расслоение!B3</f>
        <v>0</v>
      </c>
      <c r="C3">
        <f>расслоение!C3</f>
        <v>0</v>
      </c>
      <c r="D3">
        <f>расслоение!D3</f>
        <v>0</v>
      </c>
      <c r="E3">
        <f>расслоение!E3</f>
        <v>0</v>
      </c>
      <c r="F3">
        <f>расслоение!F3</f>
        <v>0</v>
      </c>
      <c r="G3">
        <f>расслоение!G3</f>
        <v>0</v>
      </c>
      <c r="H3">
        <f>расслоение!H3</f>
        <v>0</v>
      </c>
      <c r="I3">
        <f>расслоение!I3</f>
        <v>0</v>
      </c>
      <c r="J3">
        <f>расслоение!J3</f>
        <v>0</v>
      </c>
      <c r="K3">
        <f>расслоение!K3</f>
        <v>0</v>
      </c>
      <c r="L3">
        <f>расслоение!L3</f>
        <v>0</v>
      </c>
      <c r="M3">
        <f>расслоение!M3</f>
        <v>0</v>
      </c>
      <c r="N3">
        <f>расслоение!N3</f>
        <v>0</v>
      </c>
      <c r="O3">
        <f>расслоение!O3</f>
        <v>0</v>
      </c>
      <c r="P3">
        <f>расслоение!P3</f>
        <v>0</v>
      </c>
    </row>
    <row r="4" spans="1:16" x14ac:dyDescent="0.25">
      <c r="A4" s="145" t="s">
        <v>152</v>
      </c>
      <c r="B4">
        <f>расслоение!B4</f>
        <v>7.6100948474299397</v>
      </c>
      <c r="C4">
        <f>расслоение!C4</f>
        <v>7.9482058027952673</v>
      </c>
      <c r="D4">
        <f>расслоение!D4</f>
        <v>8.2554462432567419</v>
      </c>
      <c r="E4">
        <f>расслоение!E4</f>
        <v>9.3665473870013916</v>
      </c>
      <c r="F4">
        <f>расслоение!F4</f>
        <v>9.3665473870013916</v>
      </c>
      <c r="G4">
        <f>расслоение!G4</f>
        <v>8.1917654595153628</v>
      </c>
      <c r="H4">
        <f>расслоение!H4</f>
        <v>9.259402795485471</v>
      </c>
      <c r="I4">
        <f>расслоение!I4</f>
        <v>9.193782148151401</v>
      </c>
      <c r="J4">
        <f>расслоение!J4</f>
        <v>9.1262878704718524</v>
      </c>
      <c r="K4">
        <f>расслоение!K4</f>
        <v>9.0493254470444455</v>
      </c>
      <c r="L4">
        <f>расслоение!L4</f>
        <v>8.9642172733387149</v>
      </c>
      <c r="M4">
        <f>расслоение!M4</f>
        <v>8.8838381654144261</v>
      </c>
      <c r="N4">
        <f>расслоение!N4</f>
        <v>8.8018224051511584</v>
      </c>
      <c r="O4">
        <f>расслоение!O4</f>
        <v>8.7182751138607255</v>
      </c>
      <c r="P4">
        <f>расслоение!P4</f>
        <v>8.6332721113267645</v>
      </c>
    </row>
    <row r="8" spans="1:16" x14ac:dyDescent="0.25">
      <c r="A8" s="149" t="s">
        <v>182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5"/>
  <dimension ref="A2:M33"/>
  <sheetViews>
    <sheetView workbookViewId="0">
      <selection activeCell="B14" sqref="B14"/>
    </sheetView>
  </sheetViews>
  <sheetFormatPr defaultRowHeight="15" x14ac:dyDescent="0.25"/>
  <cols>
    <col min="2" max="2" width="18.28515625" bestFit="1" customWidth="1"/>
    <col min="3" max="3" width="17.5703125" customWidth="1"/>
    <col min="4" max="4" width="19.7109375" customWidth="1"/>
    <col min="5" max="11" width="19.28515625" bestFit="1" customWidth="1"/>
    <col min="12" max="12" width="13.140625" bestFit="1" customWidth="1"/>
  </cols>
  <sheetData>
    <row r="2" spans="1:13" x14ac:dyDescent="0.25">
      <c r="B2" t="s">
        <v>92</v>
      </c>
      <c r="C2" t="s">
        <v>93</v>
      </c>
      <c r="F2" s="23">
        <v>2</v>
      </c>
    </row>
    <row r="4" spans="1:13" x14ac:dyDescent="0.25">
      <c r="B4" t="s">
        <v>94</v>
      </c>
    </row>
    <row r="6" spans="1:13" ht="15.75" thickBot="1" x14ac:dyDescent="0.3">
      <c r="B6" s="25">
        <v>1</v>
      </c>
      <c r="C6" s="25">
        <v>2</v>
      </c>
      <c r="D6" s="25">
        <v>3</v>
      </c>
      <c r="E6" s="25">
        <v>4</v>
      </c>
      <c r="F6" s="25">
        <v>5</v>
      </c>
      <c r="G6" s="25">
        <v>6</v>
      </c>
      <c r="H6" s="25">
        <v>7</v>
      </c>
      <c r="I6" s="25">
        <v>8</v>
      </c>
      <c r="J6" s="25">
        <v>9</v>
      </c>
      <c r="K6" s="25">
        <v>10</v>
      </c>
    </row>
    <row r="7" spans="1:13" ht="19.5" thickBot="1" x14ac:dyDescent="0.35">
      <c r="B7" s="41">
        <v>0.5</v>
      </c>
      <c r="C7" s="42">
        <v>0.5</v>
      </c>
      <c r="D7" s="42">
        <v>0.5</v>
      </c>
      <c r="E7" s="42">
        <v>0.5</v>
      </c>
      <c r="F7" s="42">
        <v>0.5</v>
      </c>
      <c r="G7" s="42">
        <v>0.5</v>
      </c>
      <c r="H7" s="42">
        <v>0.5</v>
      </c>
      <c r="I7" s="42">
        <v>0.5</v>
      </c>
      <c r="J7" s="42">
        <v>0.5</v>
      </c>
      <c r="K7" s="43">
        <v>0.5</v>
      </c>
      <c r="M7" s="62" t="s">
        <v>95</v>
      </c>
    </row>
    <row r="11" spans="1:13" ht="15.75" thickBot="1" x14ac:dyDescent="0.3"/>
    <row r="12" spans="1:13" ht="21.75" thickBot="1" x14ac:dyDescent="0.4">
      <c r="A12" s="44">
        <v>2016</v>
      </c>
    </row>
    <row r="14" spans="1:13" x14ac:dyDescent="0.25">
      <c r="B14" t="s">
        <v>96</v>
      </c>
    </row>
    <row r="15" spans="1:13" x14ac:dyDescent="0.25">
      <c r="B15" s="6">
        <f>расслоение!G80*ndec1_2016</f>
        <v>8120590838.2516317</v>
      </c>
      <c r="C15" s="6">
        <f>расслоение!H80*ndec1_2016</f>
        <v>11557767235.796164</v>
      </c>
      <c r="D15" s="6">
        <f>расслоение!I80*ndec1_2016</f>
        <v>15243900529.940414</v>
      </c>
      <c r="E15" s="6">
        <f>расслоение!J80*ndec1_2016</f>
        <v>19269895043.613483</v>
      </c>
      <c r="F15" s="6">
        <f>расслоение!K80*ndec1_2016</f>
        <v>23759847977.869392</v>
      </c>
      <c r="G15" s="6">
        <f>расслоение!L80*ndec1_2016</f>
        <v>28883169486.298496</v>
      </c>
      <c r="H15" s="6">
        <f>расслоение!M80*ndec1_2016</f>
        <v>34871128283.22908</v>
      </c>
      <c r="I15" s="6">
        <f>расслоение!N80*ndec1_2016</f>
        <v>42039438728.712982</v>
      </c>
      <c r="J15" s="6">
        <f>расслоение!O80*ndec1_2016</f>
        <v>50819095380.022903</v>
      </c>
      <c r="K15" s="6">
        <f>расслоение!P80*ndec1_2016</f>
        <v>61798466496.265518</v>
      </c>
    </row>
    <row r="16" spans="1:13" x14ac:dyDescent="0.25"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2" x14ac:dyDescent="0.25">
      <c r="B17" t="s">
        <v>97</v>
      </c>
    </row>
    <row r="18" spans="1:12" x14ac:dyDescent="0.25">
      <c r="A18" t="s">
        <v>98</v>
      </c>
      <c r="B18" s="6">
        <f t="shared" ref="B18:K19" si="0">B$15*INDEX(DRRD,B$6)/NA</f>
        <v>2030147709.5629079</v>
      </c>
      <c r="C18" s="6">
        <f t="shared" si="0"/>
        <v>2889441808.9490409</v>
      </c>
      <c r="D18" s="6">
        <f t="shared" si="0"/>
        <v>3810975132.4851036</v>
      </c>
      <c r="E18" s="6">
        <f t="shared" si="0"/>
        <v>4817473760.9033709</v>
      </c>
      <c r="F18" s="6">
        <f t="shared" si="0"/>
        <v>5939961994.4673481</v>
      </c>
      <c r="G18" s="6">
        <f t="shared" si="0"/>
        <v>7220792371.5746241</v>
      </c>
      <c r="H18" s="6">
        <f t="shared" si="0"/>
        <v>8717782070.8072701</v>
      </c>
      <c r="I18" s="6">
        <f t="shared" si="0"/>
        <v>10509859682.178246</v>
      </c>
      <c r="J18" s="6">
        <f t="shared" si="0"/>
        <v>12704773845.005726</v>
      </c>
      <c r="K18" s="6">
        <f t="shared" si="0"/>
        <v>15449616624.06638</v>
      </c>
    </row>
    <row r="19" spans="1:12" x14ac:dyDescent="0.25">
      <c r="A19" t="s">
        <v>99</v>
      </c>
      <c r="B19" s="6">
        <f t="shared" si="0"/>
        <v>2030147709.5629079</v>
      </c>
      <c r="C19" s="6">
        <f t="shared" si="0"/>
        <v>2889441808.9490409</v>
      </c>
      <c r="D19" s="6">
        <f t="shared" si="0"/>
        <v>3810975132.4851036</v>
      </c>
      <c r="E19" s="6">
        <f t="shared" si="0"/>
        <v>4817473760.9033709</v>
      </c>
      <c r="F19" s="6">
        <f t="shared" si="0"/>
        <v>5939961994.4673481</v>
      </c>
      <c r="G19" s="6">
        <f t="shared" si="0"/>
        <v>7220792371.5746241</v>
      </c>
      <c r="H19" s="6">
        <f t="shared" si="0"/>
        <v>8717782070.8072701</v>
      </c>
      <c r="I19" s="6">
        <f t="shared" si="0"/>
        <v>10509859682.178246</v>
      </c>
      <c r="J19" s="6">
        <f t="shared" si="0"/>
        <v>12704773845.005726</v>
      </c>
      <c r="K19" s="6">
        <f t="shared" si="0"/>
        <v>15449616624.06638</v>
      </c>
    </row>
    <row r="20" spans="1:12" x14ac:dyDescent="0.25"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2" x14ac:dyDescent="0.25">
      <c r="B21" t="s">
        <v>100</v>
      </c>
    </row>
    <row r="22" spans="1:12" x14ac:dyDescent="0.25">
      <c r="A22" t="s">
        <v>98</v>
      </c>
      <c r="B22" s="6">
        <f t="shared" ref="B22:K22" ca="1" si="1">B$15*(1-INDEX(DRRD,B$6))*RAND()</f>
        <v>2491558112.016799</v>
      </c>
      <c r="C22" s="6">
        <f t="shared" ca="1" si="1"/>
        <v>1424457651.7208064</v>
      </c>
      <c r="D22" s="6">
        <f t="shared" ca="1" si="1"/>
        <v>1474383018.7639809</v>
      </c>
      <c r="E22" s="6">
        <f t="shared" ca="1" si="1"/>
        <v>9163066586.7813072</v>
      </c>
      <c r="F22" s="6">
        <f t="shared" ca="1" si="1"/>
        <v>9197170114.3511772</v>
      </c>
      <c r="G22" s="6">
        <f t="shared" ca="1" si="1"/>
        <v>4994128450.3048525</v>
      </c>
      <c r="H22" s="6">
        <f t="shared" ca="1" si="1"/>
        <v>7802262345.510746</v>
      </c>
      <c r="I22" s="6">
        <f t="shared" ca="1" si="1"/>
        <v>18564662114.331345</v>
      </c>
      <c r="J22" s="6">
        <f t="shared" ca="1" si="1"/>
        <v>10790915747.611616</v>
      </c>
      <c r="K22" s="6">
        <f t="shared" ca="1" si="1"/>
        <v>20141763774.861423</v>
      </c>
    </row>
    <row r="23" spans="1:12" x14ac:dyDescent="0.25">
      <c r="A23" t="s">
        <v>99</v>
      </c>
      <c r="B23" s="6">
        <f t="shared" ref="B23:K23" ca="1" si="2">B$15*(1-INDEX(DRRD,B$6))-B22</f>
        <v>1568737307.1090169</v>
      </c>
      <c r="C23" s="6">
        <f t="shared" ca="1" si="2"/>
        <v>4354425966.1772757</v>
      </c>
      <c r="D23" s="6">
        <f t="shared" ca="1" si="2"/>
        <v>6147567246.2062263</v>
      </c>
      <c r="E23" s="6">
        <f t="shared" ca="1" si="2"/>
        <v>471880935.02543449</v>
      </c>
      <c r="F23" s="6">
        <f t="shared" ca="1" si="2"/>
        <v>2682753874.583519</v>
      </c>
      <c r="G23" s="6">
        <f t="shared" ca="1" si="2"/>
        <v>9447456292.8443947</v>
      </c>
      <c r="H23" s="6">
        <f t="shared" ca="1" si="2"/>
        <v>9633301796.1037941</v>
      </c>
      <c r="I23" s="6">
        <f t="shared" ca="1" si="2"/>
        <v>2455057250.0251465</v>
      </c>
      <c r="J23" s="6">
        <f t="shared" ca="1" si="2"/>
        <v>14618631942.399836</v>
      </c>
      <c r="K23" s="6">
        <f t="shared" ca="1" si="2"/>
        <v>10757469473.271336</v>
      </c>
    </row>
    <row r="24" spans="1:12" x14ac:dyDescent="0.25"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2" ht="15.75" thickBot="1" x14ac:dyDescent="0.3">
      <c r="B25" t="s">
        <v>105</v>
      </c>
    </row>
    <row r="26" spans="1:12" x14ac:dyDescent="0.25">
      <c r="A26" t="s">
        <v>98</v>
      </c>
      <c r="B26" s="78">
        <f ca="1">B18+B22</f>
        <v>4521705821.5797071</v>
      </c>
      <c r="C26" s="79">
        <f t="shared" ref="C26:K26" ca="1" si="3">C18+C22</f>
        <v>4313899460.6698475</v>
      </c>
      <c r="D26" s="79">
        <f t="shared" ca="1" si="3"/>
        <v>5285358151.2490845</v>
      </c>
      <c r="E26" s="79">
        <f t="shared" ca="1" si="3"/>
        <v>13980540347.684677</v>
      </c>
      <c r="F26" s="79">
        <f t="shared" ca="1" si="3"/>
        <v>15137132108.818525</v>
      </c>
      <c r="G26" s="79">
        <f t="shared" ca="1" si="3"/>
        <v>12214920821.879477</v>
      </c>
      <c r="H26" s="79">
        <f t="shared" ca="1" si="3"/>
        <v>16520044416.318016</v>
      </c>
      <c r="I26" s="79">
        <f t="shared" ca="1" si="3"/>
        <v>29074521796.50959</v>
      </c>
      <c r="J26" s="79">
        <f t="shared" ca="1" si="3"/>
        <v>23495689592.61734</v>
      </c>
      <c r="K26" s="138">
        <f t="shared" ca="1" si="3"/>
        <v>35591380398.927803</v>
      </c>
      <c r="L26" s="139">
        <f ca="1">SUM(B26:K26)*0.000001</f>
        <v>160135.19291625405</v>
      </c>
    </row>
    <row r="27" spans="1:12" ht="15.75" thickBot="1" x14ac:dyDescent="0.3">
      <c r="A27" t="s">
        <v>99</v>
      </c>
      <c r="B27" s="140">
        <f t="shared" ref="B27:K27" ca="1" si="4">B19+B23</f>
        <v>3598885016.6719246</v>
      </c>
      <c r="C27" s="141">
        <f t="shared" ca="1" si="4"/>
        <v>7243867775.1263161</v>
      </c>
      <c r="D27" s="141">
        <f t="shared" ca="1" si="4"/>
        <v>9958542378.69133</v>
      </c>
      <c r="E27" s="141">
        <f t="shared" ca="1" si="4"/>
        <v>5289354695.9288054</v>
      </c>
      <c r="F27" s="141">
        <f t="shared" ca="1" si="4"/>
        <v>8622715869.0508671</v>
      </c>
      <c r="G27" s="141">
        <f t="shared" ca="1" si="4"/>
        <v>16668248664.419018</v>
      </c>
      <c r="H27" s="141">
        <f t="shared" ca="1" si="4"/>
        <v>18351083866.911064</v>
      </c>
      <c r="I27" s="141">
        <f t="shared" ca="1" si="4"/>
        <v>12964916932.203392</v>
      </c>
      <c r="J27" s="141">
        <f t="shared" ca="1" si="4"/>
        <v>27323405787.405563</v>
      </c>
      <c r="K27" s="142">
        <f t="shared" ca="1" si="4"/>
        <v>26207086097.337715</v>
      </c>
      <c r="L27" s="143">
        <f ca="1">SUM(B27:K27)*0.000001</f>
        <v>136228.107083746</v>
      </c>
    </row>
    <row r="28" spans="1:12" ht="21.75" thickBot="1" x14ac:dyDescent="0.4">
      <c r="B28" s="25">
        <v>1</v>
      </c>
      <c r="C28" s="25">
        <v>2</v>
      </c>
      <c r="D28" s="25">
        <v>3</v>
      </c>
      <c r="E28" s="25">
        <v>4</v>
      </c>
      <c r="F28" s="25">
        <v>5</v>
      </c>
      <c r="G28" s="25">
        <v>6</v>
      </c>
      <c r="H28" s="25">
        <v>7</v>
      </c>
      <c r="I28" s="25">
        <v>8</v>
      </c>
      <c r="J28" s="25">
        <v>9</v>
      </c>
      <c r="K28" s="25">
        <v>10</v>
      </c>
      <c r="L28" s="44">
        <f ca="1">SUM(L26:L27)</f>
        <v>296363.30000000005</v>
      </c>
    </row>
    <row r="31" spans="1:12" x14ac:dyDescent="0.25">
      <c r="A31" t="s">
        <v>66</v>
      </c>
      <c r="B31" s="8">
        <f ca="1">B26+B27</f>
        <v>8120590838.2516317</v>
      </c>
      <c r="C31" s="8">
        <f t="shared" ref="C31:K31" ca="1" si="5">C26+C27</f>
        <v>11557767235.796164</v>
      </c>
      <c r="D31" s="8">
        <f t="shared" ca="1" si="5"/>
        <v>15243900529.940414</v>
      </c>
      <c r="E31" s="8">
        <f t="shared" ca="1" si="5"/>
        <v>19269895043.613483</v>
      </c>
      <c r="F31" s="8">
        <f t="shared" ca="1" si="5"/>
        <v>23759847977.869392</v>
      </c>
      <c r="G31" s="8">
        <f t="shared" ca="1" si="5"/>
        <v>28883169486.298492</v>
      </c>
      <c r="H31" s="8">
        <f t="shared" ca="1" si="5"/>
        <v>34871128283.22908</v>
      </c>
      <c r="I31" s="8">
        <f t="shared" ca="1" si="5"/>
        <v>42039438728.712982</v>
      </c>
      <c r="J31" s="8">
        <f t="shared" ca="1" si="5"/>
        <v>50819095380.022903</v>
      </c>
      <c r="K31" s="8">
        <f t="shared" ca="1" si="5"/>
        <v>61798466496.265518</v>
      </c>
    </row>
    <row r="33" spans="6:6" x14ac:dyDescent="0.25">
      <c r="F33">
        <f>1</f>
        <v>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"/>
  <dimension ref="A3:O66"/>
  <sheetViews>
    <sheetView zoomScale="110" zoomScaleNormal="110" workbookViewId="0">
      <selection activeCell="E26" sqref="E26"/>
    </sheetView>
  </sheetViews>
  <sheetFormatPr defaultRowHeight="15" x14ac:dyDescent="0.25"/>
  <cols>
    <col min="2" max="2" width="19.140625" customWidth="1"/>
    <col min="3" max="3" width="17.5703125" customWidth="1"/>
    <col min="4" max="4" width="16.85546875" bestFit="1" customWidth="1"/>
    <col min="5" max="5" width="24" customWidth="1"/>
    <col min="6" max="8" width="16.85546875" bestFit="1" customWidth="1"/>
    <col min="9" max="9" width="20.85546875" customWidth="1"/>
    <col min="10" max="12" width="18.5703125" bestFit="1" customWidth="1"/>
  </cols>
  <sheetData>
    <row r="3" spans="2:14" x14ac:dyDescent="0.25">
      <c r="C3" t="s">
        <v>101</v>
      </c>
    </row>
    <row r="5" spans="2:14" ht="15.75" thickBot="1" x14ac:dyDescent="0.3">
      <c r="C5" s="25">
        <v>1</v>
      </c>
      <c r="D5" s="25">
        <v>2</v>
      </c>
      <c r="E5" s="25">
        <v>3</v>
      </c>
      <c r="F5" s="25">
        <v>4</v>
      </c>
      <c r="G5" s="25">
        <v>5</v>
      </c>
      <c r="H5" s="25">
        <v>6</v>
      </c>
      <c r="I5" s="25">
        <v>7</v>
      </c>
      <c r="J5" s="25">
        <v>8</v>
      </c>
      <c r="K5" s="25">
        <v>9</v>
      </c>
      <c r="L5" s="25">
        <v>10</v>
      </c>
    </row>
    <row r="6" spans="2:14" ht="19.5" thickBot="1" x14ac:dyDescent="0.35">
      <c r="C6" s="41">
        <v>0.5</v>
      </c>
      <c r="D6" s="42">
        <v>0.5</v>
      </c>
      <c r="E6" s="42">
        <v>0.5</v>
      </c>
      <c r="F6" s="42">
        <v>0.5</v>
      </c>
      <c r="G6" s="42">
        <v>0.5</v>
      </c>
      <c r="H6" s="42">
        <v>0.5</v>
      </c>
      <c r="I6" s="42">
        <v>0.5</v>
      </c>
      <c r="J6" s="42">
        <v>0.5</v>
      </c>
      <c r="K6" s="42">
        <v>0.5</v>
      </c>
      <c r="L6" s="43">
        <v>0.5</v>
      </c>
      <c r="N6" s="62" t="s">
        <v>102</v>
      </c>
    </row>
    <row r="9" spans="2:14" ht="48" customHeight="1" x14ac:dyDescent="0.25">
      <c r="C9" s="61" t="s">
        <v>106</v>
      </c>
      <c r="D9" s="23">
        <v>3</v>
      </c>
    </row>
    <row r="11" spans="2:14" ht="15.75" thickBot="1" x14ac:dyDescent="0.3"/>
    <row r="12" spans="2:14" ht="15.75" thickBot="1" x14ac:dyDescent="0.3">
      <c r="E12" s="78"/>
      <c r="F12" s="8"/>
    </row>
    <row r="13" spans="2:14" ht="21.75" thickBot="1" x14ac:dyDescent="0.4">
      <c r="B13" s="44">
        <v>2016</v>
      </c>
      <c r="E13" s="8"/>
    </row>
    <row r="14" spans="2:14" x14ac:dyDescent="0.25">
      <c r="E14" s="151"/>
    </row>
    <row r="15" spans="2:14" x14ac:dyDescent="0.25">
      <c r="C15" t="s">
        <v>103</v>
      </c>
    </row>
    <row r="16" spans="2:14" x14ac:dyDescent="0.25">
      <c r="C16" s="25">
        <v>1</v>
      </c>
      <c r="D16" s="25">
        <v>2</v>
      </c>
      <c r="E16" s="25">
        <v>3</v>
      </c>
      <c r="F16" s="25">
        <v>4</v>
      </c>
      <c r="G16" s="25">
        <v>5</v>
      </c>
      <c r="H16" s="25">
        <v>6</v>
      </c>
      <c r="I16" s="25">
        <v>7</v>
      </c>
      <c r="J16" s="25">
        <v>8</v>
      </c>
      <c r="K16" s="25">
        <v>9</v>
      </c>
      <c r="L16" s="25">
        <v>10</v>
      </c>
    </row>
    <row r="17" spans="1:13" ht="15.75" thickBot="1" x14ac:dyDescent="0.3">
      <c r="B17" s="21" t="s">
        <v>104</v>
      </c>
    </row>
    <row r="18" spans="1:13" x14ac:dyDescent="0.25">
      <c r="A18" t="s">
        <v>98</v>
      </c>
      <c r="B18" s="63" t="s">
        <v>71</v>
      </c>
      <c r="C18" s="78">
        <f ca="1">доходы!B26*INDEX(DRRR,C$6)*('матрица расходов'!C37/100)</f>
        <v>280345760.93794185</v>
      </c>
      <c r="D18" s="79">
        <f ca="1">доходы!C26*INDEX(DRRR,D$6)*'матрица расходов'!D37/100</f>
        <v>265993957.53556439</v>
      </c>
      <c r="E18" s="79">
        <f ca="1">доходы!D26*INDEX(DRRR,E$6)*'матрица расходов'!E37/100</f>
        <v>322662821.39890271</v>
      </c>
      <c r="F18" s="79">
        <f ca="1">доходы!E26*INDEX(DRRR,F$6)*'матрица расходов'!F37/100</f>
        <v>846350413.51057661</v>
      </c>
      <c r="G18" s="79">
        <f ca="1">доходы!F26*INDEX(DRRR,G$6)*'матрица расходов'!G37/100</f>
        <v>909638874.89401293</v>
      </c>
      <c r="H18" s="79">
        <f ca="1">доходы!G26*INDEX(DRRR,H$6)*'матрица расходов'!H37/100</f>
        <v>732895249.31276858</v>
      </c>
      <c r="I18" s="79">
        <f ca="1">доходы!H26*INDEX(DRRR,I$6)*'матрица расходов'!I37/100</f>
        <v>988635815.21056104</v>
      </c>
      <c r="J18" s="79">
        <f ca="1">доходы!I26*INDEX(DRRR,J$6)*'матрица расходов'!J37/100</f>
        <v>1730542996.4913192</v>
      </c>
      <c r="K18" s="79">
        <f ca="1">доходы!J26*INDEX(DRRR,K$6)*'матрица расходов'!K37/100</f>
        <v>1390124867.1310196</v>
      </c>
      <c r="L18" s="138">
        <f ca="1">доходы!K26*INDEX(DRRR,L$6)*'матрица расходов'!L37/100</f>
        <v>2095996131.2356386</v>
      </c>
      <c r="M18" t="s">
        <v>98</v>
      </c>
    </row>
    <row r="19" spans="1:13" ht="15.75" thickBot="1" x14ac:dyDescent="0.3">
      <c r="B19" s="63" t="s">
        <v>72</v>
      </c>
      <c r="C19" s="140">
        <f ca="1">доходы!B26*INDEX(DRRR,C$6)*'матрица расходов'!C38/100</f>
        <v>77073954.981623903</v>
      </c>
      <c r="D19" s="141">
        <f ca="1">доходы!C26*INDEX(DRRR,D$6)*'матрица расходов'!D38/100</f>
        <v>78428858.613654673</v>
      </c>
      <c r="E19" s="141">
        <f ca="1">доходы!D26*INDEX(DRRR,E$6)*'матрица расходов'!E38/100</f>
        <v>102552535.60394001</v>
      </c>
      <c r="F19" s="141">
        <f ca="1">доходы!E26*INDEX(DRRR,F$6)*'матрица расходов'!F38/100</f>
        <v>285545632.17622864</v>
      </c>
      <c r="G19" s="141">
        <f ca="1">доходы!F26*INDEX(DRRR,G$6)*'матрица расходов'!G38/100</f>
        <v>334941678.98881114</v>
      </c>
      <c r="H19" s="141">
        <f ca="1">доходы!G26*INDEX(DRRR,H$6)*'матрица расходов'!H38/100</f>
        <v>308942431.47565156</v>
      </c>
      <c r="I19" s="141">
        <f ca="1">доходы!H26*INDEX(DRRR,I$6)*'матрица расходов'!I38/100</f>
        <v>471709696.92578536</v>
      </c>
      <c r="J19" s="141">
        <f ca="1">доходы!I26*INDEX(DRRR,J$6)*'матрица расходов'!J38/100</f>
        <v>924295201.49832153</v>
      </c>
      <c r="K19" s="141">
        <f ca="1">доходы!J26*INDEX(DRRR,K$6)*'матрица расходов'!K38/100</f>
        <v>976118980.41055357</v>
      </c>
      <c r="L19" s="142">
        <f ca="1">доходы!K26*INDEX(DRRR,L$6)*'матрица расходов'!L38/100</f>
        <v>1815547428.5483277</v>
      </c>
    </row>
    <row r="20" spans="1:13" x14ac:dyDescent="0.25">
      <c r="A20" t="s">
        <v>99</v>
      </c>
      <c r="B20" s="63" t="s">
        <v>71</v>
      </c>
      <c r="C20" s="78">
        <f ca="1">доходы!B27*INDEX(DRRR,C$6)*'матрица расходов'!C37/100</f>
        <v>223130871.03365934</v>
      </c>
      <c r="D20" s="79">
        <f ca="1">доходы!C27*INDEX(DRRR,D$6)*'матрица расходов'!D37/100</f>
        <v>446655068.09725273</v>
      </c>
      <c r="E20" s="79">
        <f ca="1">доходы!D27*INDEX(DRRR,E$6)*'матрица расходов'!E37/100</f>
        <v>607953385.36702549</v>
      </c>
      <c r="F20" s="79">
        <f ca="1">доходы!E27*INDEX(DRRR,F$6)*'матрица расходов'!F37/100</f>
        <v>320205616.00430799</v>
      </c>
      <c r="G20" s="79">
        <f ca="1">доходы!F27*INDEX(DRRR,G$6)*'матрица расходов'!G37/100</f>
        <v>518166684.76353693</v>
      </c>
      <c r="H20" s="79">
        <f ca="1">доходы!G27*INDEX(DRRR,H$6)*'матрица расходов'!H37/100</f>
        <v>1000094919.865141</v>
      </c>
      <c r="I20" s="79">
        <f ca="1">доходы!H27*INDEX(DRRR,I$6)*'матрица расходов'!I37/100</f>
        <v>1098213679.1860154</v>
      </c>
      <c r="J20" s="79">
        <f ca="1">доходы!I27*INDEX(DRRR,J$6)*'матрица расходов'!J37/100</f>
        <v>771684100.40057111</v>
      </c>
      <c r="K20" s="79">
        <f ca="1">доходы!J27*INDEX(DRRR,K$6)*'матрица расходов'!K37/100</f>
        <v>1616592085.5423133</v>
      </c>
      <c r="L20" s="138">
        <f ca="1">доходы!K27*INDEX(DRRR,L$6)*'матрица расходов'!L37/100</f>
        <v>1543349835.1368783</v>
      </c>
      <c r="M20" t="s">
        <v>99</v>
      </c>
    </row>
    <row r="21" spans="1:13" ht="15.75" thickBot="1" x14ac:dyDescent="0.3">
      <c r="B21" s="63" t="s">
        <v>72</v>
      </c>
      <c r="C21" s="140">
        <f ca="1">доходы!B27*INDEX(DRRR,C$6)*'матрица расходов'!C38/100</f>
        <v>61344172.465891831</v>
      </c>
      <c r="D21" s="141">
        <f ca="1">доходы!C27*INDEX(DRRR,D$6)*'матрица расходов'!D38/100</f>
        <v>131697153.9858683</v>
      </c>
      <c r="E21" s="141">
        <f ca="1">доходы!D27*INDEX(DRRR,E$6)*'матрица расходов'!E38/100</f>
        <v>193226975.85077205</v>
      </c>
      <c r="F21" s="141">
        <f ca="1">доходы!E27*INDEX(DRRR,F$6)*'матрица расходов'!F38/100</f>
        <v>108032457.46530995</v>
      </c>
      <c r="G21" s="141">
        <f ca="1">доходы!F27*INDEX(DRRR,G$6)*'матрица расходов'!G38/100</f>
        <v>190796176.57170489</v>
      </c>
      <c r="H21" s="141">
        <f ca="1">доходы!G27*INDEX(DRRR,H$6)*'матрица расходов'!H38/100</f>
        <v>421576966.88483727</v>
      </c>
      <c r="I21" s="141">
        <f ca="1">доходы!H27*INDEX(DRRR,I$6)*'матрица расходов'!I38/100</f>
        <v>523992792.69308525</v>
      </c>
      <c r="J21" s="141">
        <f ca="1">доходы!I27*INDEX(DRRR,J$6)*'матрица расходов'!J38/100</f>
        <v>412161912.48581594</v>
      </c>
      <c r="K21" s="141">
        <f ca="1">доходы!J27*INDEX(DRRR,K$6)*'матрица расходов'!K38/100</f>
        <v>1135139911.2340372</v>
      </c>
      <c r="L21" s="142">
        <f ca="1">доходы!K27*INDEX(DRRR,L$6)*'матрица расходов'!L38/100</f>
        <v>1336846372.3649077</v>
      </c>
    </row>
    <row r="22" spans="1:13" x14ac:dyDescent="0.25">
      <c r="B22" s="63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3" x14ac:dyDescent="0.25">
      <c r="B23" s="63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3" x14ac:dyDescent="0.25">
      <c r="B24" s="21" t="s">
        <v>109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3" x14ac:dyDescent="0.25">
      <c r="B25" s="64" t="s">
        <v>98</v>
      </c>
      <c r="C25">
        <f ca="1">доходы!B26*(1-INDEX(DRRR,C$6))/$D$9</f>
        <v>753617636.92995119</v>
      </c>
      <c r="D25">
        <f ca="1">доходы!C26*(1-INDEX(DRRR,D$6))/$D$9</f>
        <v>718983243.44497454</v>
      </c>
      <c r="E25">
        <f ca="1">доходы!D26*(1-INDEX(DRRR,E$6))/$D$9</f>
        <v>880893025.20818079</v>
      </c>
      <c r="F25">
        <f ca="1">доходы!E26*(1-INDEX(DRRR,F$6))/$D$9</f>
        <v>2330090057.9474463</v>
      </c>
      <c r="G25">
        <f ca="1">доходы!F26*(1-INDEX(DRRR,G$6))/$D$9</f>
        <v>2522855351.4697542</v>
      </c>
      <c r="H25">
        <f ca="1">доходы!G26*(1-INDEX(DRRR,H$6))/$D$9</f>
        <v>2035820136.9799128</v>
      </c>
      <c r="I25">
        <f ca="1">доходы!H26*(1-INDEX(DRRR,I$6))/$D$9</f>
        <v>2753340736.0530028</v>
      </c>
      <c r="J25">
        <f ca="1">доходы!I26*(1-INDEX(DRRR,J$6))/$D$9</f>
        <v>4845753632.7515984</v>
      </c>
      <c r="K25">
        <f ca="1">доходы!J26*(1-INDEX(DRRR,K$6))/$D$9</f>
        <v>3915948265.4362235</v>
      </c>
      <c r="L25">
        <f ca="1">доходы!K26*(1-INDEX(DRRR,L$6))/$D$9</f>
        <v>5931896733.1546335</v>
      </c>
      <c r="M25" s="66" t="s">
        <v>110</v>
      </c>
    </row>
    <row r="26" spans="1:13" ht="15.75" x14ac:dyDescent="0.25">
      <c r="B26" s="65" t="s">
        <v>107</v>
      </c>
      <c r="C26">
        <f ca="1">RAND()</f>
        <v>0.67065248110513376</v>
      </c>
      <c r="D26">
        <f t="shared" ref="D26:L26" ca="1" si="0">RAND()</f>
        <v>0.96285188269360045</v>
      </c>
      <c r="E26">
        <f t="shared" ca="1" si="0"/>
        <v>0.92290133747807002</v>
      </c>
      <c r="F26">
        <f t="shared" ca="1" si="0"/>
        <v>0.72478076516315193</v>
      </c>
      <c r="G26">
        <f t="shared" ca="1" si="0"/>
        <v>8.0020360866842055E-2</v>
      </c>
      <c r="H26">
        <f t="shared" ca="1" si="0"/>
        <v>0.96523037536245548</v>
      </c>
      <c r="I26">
        <f t="shared" ca="1" si="0"/>
        <v>0.87575513331001587</v>
      </c>
      <c r="J26">
        <f t="shared" ca="1" si="0"/>
        <v>0.17820269036346426</v>
      </c>
      <c r="K26">
        <f t="shared" ca="1" si="0"/>
        <v>0.82893214719945596</v>
      </c>
      <c r="L26">
        <f t="shared" ca="1" si="0"/>
        <v>0.28789887669649528</v>
      </c>
      <c r="M26" s="66" t="s">
        <v>108</v>
      </c>
    </row>
    <row r="27" spans="1:13" x14ac:dyDescent="0.25">
      <c r="B27" s="63" t="s">
        <v>71</v>
      </c>
      <c r="C27">
        <f ca="1">IF(C$26&gt;0.01*('матрица расходов'!C37+'матрица расходов'!C38),0,IF(C$26&gt;0.01*'матрица расходов'!C37,0,C$25))</f>
        <v>0</v>
      </c>
      <c r="D27">
        <f ca="1">IF(D$26&gt;0.01*('матрица расходов'!D37+'матрица расходов'!D38),0,IF(D$26&gt;0.01*'матрица расходов'!D37,0,D$25))</f>
        <v>0</v>
      </c>
      <c r="E27">
        <f ca="1">IF(E$26&gt;0.01*('матрица расходов'!E37+'матрица расходов'!E38),0,IF(E$26&gt;0.01*'матрица расходов'!E37,0,E$25))</f>
        <v>0</v>
      </c>
      <c r="F27">
        <f ca="1">IF(F$26&gt;0.01*('матрица расходов'!F37+'матрица расходов'!F38),0,IF(F$26&gt;0.01*'матрица расходов'!F37,0,F$25))</f>
        <v>0</v>
      </c>
      <c r="G27">
        <f ca="1">IF(G$26&gt;0.01*('матрица расходов'!G37+'матрица расходов'!G38),0,IF(G$26&gt;0.01*'матрица расходов'!G37,0,G$25))</f>
        <v>2522855351.4697542</v>
      </c>
      <c r="H27">
        <f ca="1">IF(H$26&gt;0.01*('матрица расходов'!H37+'матрица расходов'!H38),0,IF(H$26&gt;0.01*'матрица расходов'!H37,0,H$25))</f>
        <v>0</v>
      </c>
      <c r="I27">
        <f ca="1">IF(I$26&gt;0.01*('матрица расходов'!I37+'матрица расходов'!I38),0,IF(I$26&gt;0.01*'матрица расходов'!I37,0,I$25))</f>
        <v>0</v>
      </c>
      <c r="J27">
        <f ca="1">IF(J$26&gt;0.01*('матрица расходов'!J37+'матрица расходов'!J38),0,IF(J$26&gt;0.01*'матрица расходов'!J37,0,J$25))</f>
        <v>0</v>
      </c>
      <c r="K27">
        <f ca="1">IF(K$26&gt;0.01*('матрица расходов'!K37+'матрица расходов'!K38),0,IF(K$26&gt;0.01*'матрица расходов'!K37,0,K$25))</f>
        <v>0</v>
      </c>
      <c r="L27">
        <f ca="1">IF(L$26&gt;0.01*('матрица расходов'!L37+'матрица расходов'!L38),0,IF(L$26&gt;0.01*'матрица расходов'!L37,0,L$25))</f>
        <v>0</v>
      </c>
    </row>
    <row r="28" spans="1:13" x14ac:dyDescent="0.25">
      <c r="B28" s="63" t="s">
        <v>72</v>
      </c>
      <c r="C28">
        <f ca="1">IF(C$26&gt;0.01*('матрица расходов'!C37+'матрица расходов'!C38),0,IF(C$26&lt;=0.01*'матрица расходов'!C37,0,C$25))</f>
        <v>0</v>
      </c>
      <c r="D28">
        <f ca="1">IF(D$26&gt;0.01*('матрица расходов'!D37+'матрица расходов'!D38),0,IF(D$26&lt;=0.01*'матрица расходов'!D37,0,D$25))</f>
        <v>0</v>
      </c>
      <c r="E28">
        <f ca="1">IF(E$26&gt;0.01*('матрица расходов'!E37+'матрица расходов'!E38),0,IF(E$26&lt;=0.01*'матрица расходов'!E37,0,E$25))</f>
        <v>0</v>
      </c>
      <c r="F28">
        <f ca="1">IF(F$26&gt;0.01*('матрица расходов'!F37+'матрица расходов'!F38),0,IF(F$26&lt;=0.01*'матрица расходов'!F37,0,F$25))</f>
        <v>0</v>
      </c>
      <c r="G28">
        <f ca="1">IF(G$26&gt;0.01*('матрица расходов'!G37+'матрица расходов'!G38),0,IF(G$26&lt;=0.01*'матрица расходов'!G37,0,G$25))</f>
        <v>0</v>
      </c>
      <c r="H28">
        <f ca="1">IF(H$26&gt;0.01*('матрица расходов'!H37+'матрица расходов'!H38),0,IF(H$26&lt;=0.01*'матрица расходов'!H37,0,H$25))</f>
        <v>0</v>
      </c>
      <c r="I28">
        <f ca="1">IF(I$26&gt;0.01*('матрица расходов'!I37+'матрица расходов'!I38),0,IF(I$26&lt;=0.01*'матрица расходов'!I37,0,I$25))</f>
        <v>0</v>
      </c>
      <c r="J28">
        <f ca="1">IF(J$26&gt;0.01*('матрица расходов'!J37+'матрица расходов'!J38),0,IF(J$26&lt;=0.01*'матрица расходов'!J37,0,J$25))</f>
        <v>4845753632.7515984</v>
      </c>
      <c r="K28">
        <f ca="1">IF(K$26&gt;0.01*('матрица расходов'!K37+'матрица расходов'!K38),0,IF(K$26&lt;=0.01*'матрица расходов'!K37,0,K$25))</f>
        <v>0</v>
      </c>
      <c r="L28">
        <f ca="1">IF(L$26&gt;0.01*('матрица расходов'!L37+'матрица расходов'!L38),0,IF(L$26&lt;=0.01*'матрица расходов'!L37,0,L$25))</f>
        <v>0</v>
      </c>
    </row>
    <row r="29" spans="1:13" x14ac:dyDescent="0.25">
      <c r="B29" s="63"/>
    </row>
    <row r="30" spans="1:13" ht="15.75" x14ac:dyDescent="0.25">
      <c r="B30" s="65" t="s">
        <v>111</v>
      </c>
      <c r="C30">
        <f ca="1">RAND()</f>
        <v>0.95282996328062475</v>
      </c>
      <c r="D30">
        <f t="shared" ref="D30:L30" ca="1" si="1">RAND()</f>
        <v>0.57585289031875408</v>
      </c>
      <c r="E30">
        <f t="shared" ca="1" si="1"/>
        <v>0.41858548782257554</v>
      </c>
      <c r="F30">
        <f t="shared" ca="1" si="1"/>
        <v>6.5025612184022918E-2</v>
      </c>
      <c r="G30">
        <f t="shared" ca="1" si="1"/>
        <v>0.74839640952989472</v>
      </c>
      <c r="H30">
        <f t="shared" ca="1" si="1"/>
        <v>0.49081504040235679</v>
      </c>
      <c r="I30">
        <f t="shared" ca="1" si="1"/>
        <v>0.424880418534892</v>
      </c>
      <c r="J30">
        <f t="shared" ca="1" si="1"/>
        <v>0.80361213924205832</v>
      </c>
      <c r="K30">
        <f t="shared" ca="1" si="1"/>
        <v>0.3502593403856199</v>
      </c>
      <c r="L30">
        <f t="shared" ca="1" si="1"/>
        <v>0.4314512270136448</v>
      </c>
      <c r="M30" s="66" t="s">
        <v>108</v>
      </c>
    </row>
    <row r="31" spans="1:13" x14ac:dyDescent="0.25">
      <c r="B31" s="63" t="s">
        <v>71</v>
      </c>
      <c r="C31">
        <f ca="1">IF(C$30&gt;0.01*('матрица расходов'!C37+'матрица расходов'!C38),0,IF(C$30&gt;0.01*'матрица расходов'!C37,0,C$25))</f>
        <v>0</v>
      </c>
      <c r="D31">
        <f ca="1">IF(D$30&gt;0.01*('матрица расходов'!D37+'матрица расходов'!D38),0,IF(D$30&gt;0.01*'матрица расходов'!D37,0,D$25))</f>
        <v>0</v>
      </c>
      <c r="E31">
        <f ca="1">IF(E$30&gt;0.01*('матрица расходов'!E37+'матрица расходов'!E38),0,IF(E$30&gt;0.01*'матрица расходов'!E37,0,E$25))</f>
        <v>0</v>
      </c>
      <c r="F31">
        <f ca="1">IF(F$30&gt;0.01*('матрица расходов'!F37+'матрица расходов'!F38),0,IF(F$30&gt;0.01*'матрица расходов'!F37,0,F$25))</f>
        <v>2330090057.9474463</v>
      </c>
      <c r="G31">
        <f ca="1">IF(G$30&gt;0.01*('матрица расходов'!G37+'матрица расходов'!G38),0,IF(G$30&gt;0.01*'матрица расходов'!G37,0,G$25))</f>
        <v>0</v>
      </c>
      <c r="H31">
        <f ca="1">IF(H$30&gt;0.01*('матрица расходов'!H37+'матрица расходов'!H38),0,IF(H$30&gt;0.01*'матрица расходов'!H37,0,H$25))</f>
        <v>0</v>
      </c>
      <c r="I31">
        <f ca="1">IF(I$30&gt;0.01*('матрица расходов'!I37+'матрица расходов'!I38),0,IF(I$30&gt;0.01*'матрица расходов'!I37,0,I$25))</f>
        <v>0</v>
      </c>
      <c r="J31">
        <f ca="1">IF(J$30&gt;0.01*('матрица расходов'!J37+'матрица расходов'!J38),0,IF(J$30&gt;0.01*'матрица расходов'!J37,0,J$25))</f>
        <v>0</v>
      </c>
      <c r="K31">
        <f ca="1">IF(K$30&gt;0.01*('матрица расходов'!K37+'матрица расходов'!K38),0,IF(K$30&gt;0.01*'матрица расходов'!K37,0,K$25))</f>
        <v>0</v>
      </c>
      <c r="L31">
        <f ca="1">IF(L$30&gt;0.01*('матрица расходов'!L37+'матрица расходов'!L38),0,IF(L$30&gt;0.01*'матрица расходов'!L37,0,L$25))</f>
        <v>0</v>
      </c>
    </row>
    <row r="32" spans="1:13" x14ac:dyDescent="0.25">
      <c r="B32" s="63" t="s">
        <v>72</v>
      </c>
      <c r="C32">
        <f ca="1">IF(C$30&gt;0.01*('матрица расходов'!C37+'матрица расходов'!C38),0,IF(C$30&lt;=0.01*'матрица расходов'!C37,0,C$25))</f>
        <v>0</v>
      </c>
      <c r="D32">
        <f ca="1">IF(D$30&gt;0.01*('матрица расходов'!D37+'матрица расходов'!D38),0,IF(D$30&lt;=0.01*'матрица расходов'!D37,0,D$25))</f>
        <v>0</v>
      </c>
      <c r="E32">
        <f ca="1">IF(E$30&gt;0.01*('матрица расходов'!E37+'матрица расходов'!E38),0,IF(E$30&lt;=0.01*'матрица расходов'!E37,0,E$25))</f>
        <v>0</v>
      </c>
      <c r="F32">
        <f ca="1">IF(F$30&gt;0.01*('матрица расходов'!F37+'матрица расходов'!F38),0,IF(F$30&lt;=0.01*'матрица расходов'!F37,0,F$25))</f>
        <v>0</v>
      </c>
      <c r="G32">
        <f ca="1">IF(G$30&gt;0.01*('матрица расходов'!G37+'матрица расходов'!G38),0,IF(G$30&lt;=0.01*'матрица расходов'!G37,0,G$25))</f>
        <v>0</v>
      </c>
      <c r="H32">
        <f ca="1">IF(H$30&gt;0.01*('матрица расходов'!H37+'матрица расходов'!H38),0,IF(H$30&lt;=0.01*'матрица расходов'!H37,0,H$25))</f>
        <v>0</v>
      </c>
      <c r="I32">
        <f ca="1">IF(I$30&gt;0.01*('матрица расходов'!I37+'матрица расходов'!I38),0,IF(I$30&lt;=0.01*'матрица расходов'!I37,0,I$25))</f>
        <v>0</v>
      </c>
      <c r="J32">
        <f ca="1">IF(J$30&gt;0.01*('матрица расходов'!J37+'матрица расходов'!J38),0,IF(J$30&lt;=0.01*'матрица расходов'!J37,0,J$25))</f>
        <v>0</v>
      </c>
      <c r="K32">
        <f ca="1">IF(K$30&gt;0.01*('матрица расходов'!K37+'матрица расходов'!K38),0,IF(K$30&lt;=0.01*'матрица расходов'!K37,0,K$25))</f>
        <v>0</v>
      </c>
      <c r="L32">
        <f ca="1">IF(L$30&gt;0.01*('матрица расходов'!L37+'матрица расходов'!L38),0,IF(L$30&lt;=0.01*'матрица расходов'!L37,0,L$25))</f>
        <v>0</v>
      </c>
    </row>
    <row r="33" spans="2:13" x14ac:dyDescent="0.25">
      <c r="B33" s="63"/>
    </row>
    <row r="34" spans="2:13" ht="15.75" x14ac:dyDescent="0.25">
      <c r="B34" s="65" t="s">
        <v>112</v>
      </c>
      <c r="C34">
        <f ca="1">RAND()</f>
        <v>0.54167764874709223</v>
      </c>
      <c r="D34">
        <f t="shared" ref="D34:L34" ca="1" si="2">RAND()</f>
        <v>0.98549429917857112</v>
      </c>
      <c r="E34">
        <f t="shared" ca="1" si="2"/>
        <v>0.72170737699038556</v>
      </c>
      <c r="F34">
        <f t="shared" ca="1" si="2"/>
        <v>0.43059071618238676</v>
      </c>
      <c r="G34">
        <f t="shared" ca="1" si="2"/>
        <v>0.28181010460651168</v>
      </c>
      <c r="H34">
        <f t="shared" ca="1" si="2"/>
        <v>0.16926597461370918</v>
      </c>
      <c r="I34">
        <f t="shared" ca="1" si="2"/>
        <v>0.9709441842851112</v>
      </c>
      <c r="J34">
        <f t="shared" ca="1" si="2"/>
        <v>0.75815105898630974</v>
      </c>
      <c r="K34">
        <f t="shared" ca="1" si="2"/>
        <v>0.80898907292733102</v>
      </c>
      <c r="L34">
        <f t="shared" ca="1" si="2"/>
        <v>0.35885038658586244</v>
      </c>
      <c r="M34" s="66" t="s">
        <v>108</v>
      </c>
    </row>
    <row r="35" spans="2:13" x14ac:dyDescent="0.25">
      <c r="B35" s="63" t="s">
        <v>71</v>
      </c>
      <c r="C35">
        <f ca="1">IF(C$34&gt;0.01*('матрица расходов'!C37+'матрица расходов'!C38),0,IF(C$34&gt;0.01*'матрица расходов'!C37,0,C$25))</f>
        <v>0</v>
      </c>
      <c r="D35">
        <f ca="1">IF(D$34&gt;0.01*('матрица расходов'!D37+'матрица расходов'!D38),0,IF(D$34&gt;0.01*'матрица расходов'!D37,0,D$25))</f>
        <v>0</v>
      </c>
      <c r="E35">
        <f ca="1">IF(E$34&gt;0.01*('матрица расходов'!E37+'матрица расходов'!E38),0,IF(E$34&gt;0.01*'матрица расходов'!E37,0,E$25))</f>
        <v>0</v>
      </c>
      <c r="F35">
        <f ca="1">IF(F$34&gt;0.01*('матрица расходов'!F37+'матрица расходов'!F38),0,IF(F$34&gt;0.01*'матрица расходов'!F37,0,F$25))</f>
        <v>0</v>
      </c>
      <c r="G35">
        <f ca="1">IF(G$34&gt;0.01*('матрица расходов'!G37+'матрица расходов'!G38),0,IF(G$34&gt;0.01*'матрица расходов'!G37,0,G$25))</f>
        <v>0</v>
      </c>
      <c r="H35">
        <f ca="1">IF(H$34&gt;0.01*('матрица расходов'!H37+'матрица расходов'!H38),0,IF(H$34&gt;0.01*'матрица расходов'!H37,0,H$25))</f>
        <v>0</v>
      </c>
      <c r="I35">
        <f ca="1">IF(I$34&gt;0.01*('матрица расходов'!I37+'матрица расходов'!I38),0,IF(I$34&gt;0.01*'матрица расходов'!I37,0,I$25))</f>
        <v>0</v>
      </c>
      <c r="J35">
        <f ca="1">IF(J$34&gt;0.01*('матрица расходов'!J37+'матрица расходов'!J38),0,IF(J$34&gt;0.01*'матрица расходов'!J37,0,J$25))</f>
        <v>0</v>
      </c>
      <c r="K35">
        <f ca="1">IF(K$34&gt;0.01*('матрица расходов'!K37+'матрица расходов'!K38),0,IF(K$34&gt;0.01*'матрица расходов'!K37,0,K$25))</f>
        <v>0</v>
      </c>
      <c r="L35">
        <f ca="1">IF(L$34&gt;0.01*('матрица расходов'!L37+'матрица расходов'!L38),0,IF(L$34&gt;0.01*'матрица расходов'!L37,0,L$25))</f>
        <v>0</v>
      </c>
    </row>
    <row r="36" spans="2:13" x14ac:dyDescent="0.25">
      <c r="B36" s="63" t="s">
        <v>72</v>
      </c>
      <c r="C36">
        <f ca="1">IF(C$34&gt;0.01*('матрица расходов'!C37+'матрица расходов'!C38),0,IF(C$34&lt;=0.01*'матрица расходов'!C37,0,C$25))</f>
        <v>0</v>
      </c>
      <c r="D36">
        <f ca="1">IF(D$34&gt;0.01*('матрица расходов'!D37+'матрица расходов'!D38),0,IF(D$34&lt;=0.01*'матрица расходов'!D37,0,D$25))</f>
        <v>0</v>
      </c>
      <c r="E36">
        <f ca="1">IF(E$34&gt;0.01*('матрица расходов'!E37+'матрица расходов'!E38),0,IF(E$34&lt;=0.01*'матрица расходов'!E37,0,E$25))</f>
        <v>0</v>
      </c>
      <c r="F36">
        <f ca="1">IF(F$34&gt;0.01*('матрица расходов'!F37+'матрица расходов'!F38),0,IF(F$34&lt;=0.01*'матрица расходов'!F37,0,F$25))</f>
        <v>0</v>
      </c>
      <c r="G36">
        <f ca="1">IF(G$34&gt;0.01*('матрица расходов'!G37+'матрица расходов'!G38),0,IF(G$34&lt;=0.01*'матрица расходов'!G37,0,G$25))</f>
        <v>0</v>
      </c>
      <c r="H36">
        <f ca="1">IF(H$34&gt;0.01*('матрица расходов'!H37+'матрица расходов'!H38),0,IF(H$34&lt;=0.01*'матрица расходов'!H37,0,H$25))</f>
        <v>2035820136.9799128</v>
      </c>
      <c r="I36">
        <f ca="1">IF(I$34&gt;0.01*('матрица расходов'!I37+'матрица расходов'!I38),0,IF(I$34&lt;=0.01*'матрица расходов'!I37,0,I$25))</f>
        <v>0</v>
      </c>
      <c r="J36">
        <f ca="1">IF(J$34&gt;0.01*('матрица расходов'!J37+'матрица расходов'!J38),0,IF(J$34&lt;=0.01*'матрица расходов'!J37,0,J$25))</f>
        <v>0</v>
      </c>
      <c r="K36">
        <f ca="1">IF(K$34&gt;0.01*('матрица расходов'!K37+'матрица расходов'!K38),0,IF(K$34&lt;=0.01*'матрица расходов'!K37,0,K$25))</f>
        <v>0</v>
      </c>
      <c r="L36">
        <f ca="1">IF(L$34&gt;0.01*('матрица расходов'!L37+'матрица расходов'!L38),0,IF(L$34&lt;=0.01*'матрица расходов'!L37,0,L$25))</f>
        <v>0</v>
      </c>
    </row>
    <row r="37" spans="2:13" x14ac:dyDescent="0.25">
      <c r="B37" s="63"/>
    </row>
    <row r="38" spans="2:13" x14ac:dyDescent="0.25">
      <c r="B38" s="63"/>
    </row>
    <row r="39" spans="2:13" x14ac:dyDescent="0.25">
      <c r="B39" s="64" t="s">
        <v>99</v>
      </c>
      <c r="C39">
        <f ca="1">доходы!B27*(1-INDEX(DRRR,C$6))/$D$9</f>
        <v>599814169.44532073</v>
      </c>
      <c r="D39">
        <f ca="1">доходы!C27*(1-INDEX(DRRR,D$6))/$D$9</f>
        <v>1207311295.8543861</v>
      </c>
      <c r="E39">
        <f ca="1">доходы!D27*(1-INDEX(DRRR,E$6))/$D$9</f>
        <v>1659757063.1152217</v>
      </c>
      <c r="F39">
        <f ca="1">доходы!E27*(1-INDEX(DRRR,F$6))/$D$9</f>
        <v>881559115.98813426</v>
      </c>
      <c r="G39">
        <f ca="1">доходы!F27*(1-INDEX(DRRR,G$6))/$D$9</f>
        <v>1437119311.5084779</v>
      </c>
      <c r="H39">
        <f ca="1">доходы!G27*(1-INDEX(DRRR,H$6))/$D$9</f>
        <v>2778041444.0698361</v>
      </c>
      <c r="I39">
        <f ca="1">доходы!H27*(1-INDEX(DRRR,I$6))/$D$9</f>
        <v>3058513977.8185105</v>
      </c>
      <c r="J39">
        <f ca="1">доходы!I27*(1-INDEX(DRRR,J$6))/$D$9</f>
        <v>2160819488.7005653</v>
      </c>
      <c r="K39">
        <f ca="1">доходы!J27*(1-INDEX(DRRR,K$6))/$D$9</f>
        <v>4553900964.5675936</v>
      </c>
      <c r="L39">
        <f ca="1">доходы!K27*(1-INDEX(DRRR,L$6))/$D$9</f>
        <v>4367847682.8896189</v>
      </c>
      <c r="M39" s="66" t="s">
        <v>110</v>
      </c>
    </row>
    <row r="40" spans="2:13" ht="15.75" x14ac:dyDescent="0.25">
      <c r="B40" s="65" t="s">
        <v>107</v>
      </c>
      <c r="C40">
        <f ca="1">RAND()</f>
        <v>0.41281450820665344</v>
      </c>
      <c r="D40">
        <f t="shared" ref="D40:L40" ca="1" si="3">RAND()</f>
        <v>0.61000613385774882</v>
      </c>
      <c r="E40">
        <f t="shared" ca="1" si="3"/>
        <v>0.31590104733819835</v>
      </c>
      <c r="F40">
        <f t="shared" ca="1" si="3"/>
        <v>0.12654484702669655</v>
      </c>
      <c r="G40">
        <f t="shared" ca="1" si="3"/>
        <v>0.20452929227079475</v>
      </c>
      <c r="H40">
        <f t="shared" ca="1" si="3"/>
        <v>0.22463461466207046</v>
      </c>
      <c r="I40">
        <f t="shared" ca="1" si="3"/>
        <v>0.67913260430092226</v>
      </c>
      <c r="J40">
        <f t="shared" ca="1" si="3"/>
        <v>0.93234250367557248</v>
      </c>
      <c r="K40">
        <f t="shared" ca="1" si="3"/>
        <v>0.91264235453100218</v>
      </c>
      <c r="L40">
        <f t="shared" ca="1" si="3"/>
        <v>0.89581129612641841</v>
      </c>
      <c r="M40" s="66" t="s">
        <v>108</v>
      </c>
    </row>
    <row r="41" spans="2:13" x14ac:dyDescent="0.25">
      <c r="B41" s="63" t="s">
        <v>71</v>
      </c>
      <c r="C41">
        <f ca="1">IF(C$40&gt;0.01*('матрица расходов'!C37+'матрица расходов'!C38),0,IF(C$40&gt;0.01*'матрица расходов'!C37,0,C$39))</f>
        <v>0</v>
      </c>
      <c r="D41">
        <f ca="1">IF(D$40&gt;0.01*('матрица расходов'!D37+'матрица расходов'!D38),0,IF(D$40&gt;0.01*'матрица расходов'!D37,0,D$39))</f>
        <v>0</v>
      </c>
      <c r="E41">
        <f ca="1">IF(E$40&gt;0.01*('матрица расходов'!E37+'матрица расходов'!E38),0,IF(E$40&gt;0.01*'матрица расходов'!E37,0,E$39))</f>
        <v>0</v>
      </c>
      <c r="F41">
        <f ca="1">IF(F$40&gt;0.01*('матрица расходов'!F37+'матрица расходов'!F38),0,IF(F$40&gt;0.01*'матрица расходов'!F37,0,F$39))</f>
        <v>0</v>
      </c>
      <c r="G41">
        <f ca="1">IF(G$40&gt;0.01*('матрица расходов'!G37+'матрица расходов'!G38),0,IF(G$40&gt;0.01*'матрица расходов'!G37,0,G$39))</f>
        <v>0</v>
      </c>
      <c r="H41">
        <f ca="1">IF(H$40&gt;0.01*('матрица расходов'!H37+'матрица расходов'!H38),0,IF(H$40&gt;0.01*'матрица расходов'!H37,0,H$39))</f>
        <v>0</v>
      </c>
      <c r="I41">
        <f ca="1">IF(I$40&gt;0.01*('матрица расходов'!I37+'матрица расходов'!I38),0,IF(I$40&gt;0.01*'матрица расходов'!I37,0,I$39))</f>
        <v>0</v>
      </c>
      <c r="J41">
        <f ca="1">IF(J$40&gt;0.01*('матрица расходов'!J37+'матрица расходов'!J38),0,IF(J$40&gt;0.01*'матрица расходов'!J37,0,J$39))</f>
        <v>0</v>
      </c>
      <c r="K41">
        <f ca="1">IF(K$40&gt;0.01*('матрица расходов'!K37+'матрица расходов'!K38),0,IF(K$40&gt;0.01*'матрица расходов'!K37,0,K$39))</f>
        <v>0</v>
      </c>
      <c r="L41">
        <f ca="1">IF(L$40&gt;0.01*('матрица расходов'!L37+'матрица расходов'!L38),0,IF(L$40&gt;0.01*'матрица расходов'!L37,0,L$39))</f>
        <v>0</v>
      </c>
    </row>
    <row r="42" spans="2:13" x14ac:dyDescent="0.25">
      <c r="B42" s="63" t="s">
        <v>72</v>
      </c>
      <c r="C42">
        <f ca="1">IF(C$40&gt;0.01*('матрица расходов'!C37+'матрица расходов'!C38),0,IF(C$40&lt;=0.01*'матрица расходов'!C37,0,C$39))</f>
        <v>0</v>
      </c>
      <c r="D42">
        <f ca="1">IF(D$40&gt;0.01*('матрица расходов'!D37+'матрица расходов'!D38),0,IF(D$40&lt;=0.01*'матрица расходов'!D37,0,D$39))</f>
        <v>0</v>
      </c>
      <c r="E42">
        <f ca="1">IF(E$40&gt;0.01*('матрица расходов'!E37+'матрица расходов'!E38),0,IF(E$40&lt;=0.01*'матрица расходов'!E37,0,E$39))</f>
        <v>0</v>
      </c>
      <c r="F42">
        <f ca="1">IF(F$40&gt;0.01*('матрица расходов'!F37+'матрица расходов'!F38),0,IF(F$40&lt;=0.01*'матрица расходов'!F37,0,F$39))</f>
        <v>881559115.98813426</v>
      </c>
      <c r="G42">
        <f ca="1">IF(G$40&gt;0.01*('матрица расходов'!G37+'матрица расходов'!G38),0,IF(G$40&lt;=0.01*'матрица расходов'!G37,0,G$39))</f>
        <v>0</v>
      </c>
      <c r="H42">
        <f ca="1">IF(H$40&gt;0.01*('матрица расходов'!H37+'матрица расходов'!H38),0,IF(H$40&lt;=0.01*'матрица расходов'!H37,0,H$39))</f>
        <v>0</v>
      </c>
      <c r="I42">
        <f ca="1">IF(I$40&gt;0.01*('матрица расходов'!I37+'матрица расходов'!I38),0,IF(I$40&lt;=0.01*'матрица расходов'!I37,0,I$39))</f>
        <v>0</v>
      </c>
      <c r="J42">
        <f ca="1">IF(J$40&gt;0.01*('матрица расходов'!J37+'матрица расходов'!J38),0,IF(J$40&lt;=0.01*'матрица расходов'!J37,0,J$39))</f>
        <v>0</v>
      </c>
      <c r="K42">
        <f ca="1">IF(K$40&gt;0.01*('матрица расходов'!K37+'матрица расходов'!K38),0,IF(K$40&lt;=0.01*'матрица расходов'!K37,0,K$39))</f>
        <v>0</v>
      </c>
      <c r="L42">
        <f ca="1">IF(L$40&gt;0.01*('матрица расходов'!L37+'матрица расходов'!L38),0,IF(L$40&lt;=0.01*'матрица расходов'!L37,0,L$39))</f>
        <v>0</v>
      </c>
    </row>
    <row r="43" spans="2:13" x14ac:dyDescent="0.25">
      <c r="B43" s="63"/>
    </row>
    <row r="44" spans="2:13" ht="15.75" x14ac:dyDescent="0.25">
      <c r="B44" s="65" t="s">
        <v>111</v>
      </c>
      <c r="C44">
        <f ca="1">RAND()</f>
        <v>0.41436397924323753</v>
      </c>
      <c r="D44">
        <f t="shared" ref="D44:L44" ca="1" si="4">RAND()</f>
        <v>0.46888441292840277</v>
      </c>
      <c r="E44">
        <f t="shared" ca="1" si="4"/>
        <v>7.157860994459031E-2</v>
      </c>
      <c r="F44">
        <f t="shared" ca="1" si="4"/>
        <v>0.23483034036554784</v>
      </c>
      <c r="G44">
        <f t="shared" ca="1" si="4"/>
        <v>0.69029509070060369</v>
      </c>
      <c r="H44">
        <f t="shared" ca="1" si="4"/>
        <v>1.2573859293737222E-2</v>
      </c>
      <c r="I44">
        <f t="shared" ca="1" si="4"/>
        <v>0.3307777669545694</v>
      </c>
      <c r="J44">
        <f t="shared" ca="1" si="4"/>
        <v>0.39352469954433811</v>
      </c>
      <c r="K44">
        <f t="shared" ca="1" si="4"/>
        <v>0.67087700143107076</v>
      </c>
      <c r="L44">
        <f t="shared" ca="1" si="4"/>
        <v>0.7907154602008315</v>
      </c>
      <c r="M44" s="66" t="s">
        <v>108</v>
      </c>
    </row>
    <row r="45" spans="2:13" x14ac:dyDescent="0.25">
      <c r="B45" s="63" t="s">
        <v>71</v>
      </c>
      <c r="C45">
        <f ca="1">IF(C$44&gt;0.01*('матрица расходов'!C37+'матрица расходов'!C38),0,IF(C$44&gt;0.01*'матрица расходов'!C37,0,C$39))</f>
        <v>0</v>
      </c>
      <c r="D45">
        <f ca="1">IF(D$44&gt;0.01*('матрица расходов'!D37+'матрица расходов'!D38),0,IF(D$44&gt;0.01*'матрица расходов'!D37,0,D$39))</f>
        <v>0</v>
      </c>
      <c r="E45">
        <f ca="1">IF(E$44&gt;0.01*('матрица расходов'!E37+'матрица расходов'!E38),0,IF(E$44&gt;0.01*'матрица расходов'!E37,0,E$39))</f>
        <v>1659757063.1152217</v>
      </c>
      <c r="F45">
        <f ca="1">IF(F$44&gt;0.01*('матрица расходов'!F37+'матрица расходов'!F38),0,IF(F$44&gt;0.01*'матрица расходов'!F37,0,F$39))</f>
        <v>0</v>
      </c>
      <c r="G45">
        <f ca="1">IF(G$44&gt;0.01*('матрица расходов'!G37+'матрица расходов'!G38),0,IF(G$44&gt;0.01*'матрица расходов'!G37,0,G$39))</f>
        <v>0</v>
      </c>
      <c r="H45">
        <f ca="1">IF(H$44&gt;0.01*('матрица расходов'!H37+'матрица расходов'!H38),0,IF(H$44&gt;0.01*'матрица расходов'!H37,0,H$39))</f>
        <v>2778041444.0698361</v>
      </c>
      <c r="I45">
        <f ca="1">IF(I$44&gt;0.01*('матрица расходов'!I37+'матрица расходов'!I38),0,IF(I$44&gt;0.01*'матрица расходов'!I37,0,I$39))</f>
        <v>0</v>
      </c>
      <c r="J45">
        <f ca="1">IF(J$44&gt;0.01*('матрица расходов'!J37+'матрица расходов'!J38),0,IF(J$44&gt;0.01*'матрица расходов'!J37,0,J$39))</f>
        <v>0</v>
      </c>
      <c r="K45">
        <f ca="1">IF(K$44&gt;0.01*('матрица расходов'!K37+'матрица расходов'!K38),0,IF(K$44&gt;0.01*'матрица расходов'!K37,0,K$39))</f>
        <v>0</v>
      </c>
      <c r="L45">
        <f ca="1">IF(L$44&gt;0.01*('матрица расходов'!L37+'матрица расходов'!L38),0,IF(L$44&gt;0.01*'матрица расходов'!L37,0,L$39))</f>
        <v>0</v>
      </c>
    </row>
    <row r="46" spans="2:13" x14ac:dyDescent="0.25">
      <c r="B46" s="63" t="s">
        <v>72</v>
      </c>
      <c r="C46">
        <f ca="1">IF(C$44&gt;0.01*('матрица расходов'!C37+'матрица расходов'!C38),0,IF(C$44&lt;=0.01*'матрица расходов'!C37,0,C$39))</f>
        <v>0</v>
      </c>
      <c r="D46">
        <f ca="1">IF(D$44&gt;0.01*('матрица расходов'!D37+'матрица расходов'!D38),0,IF(D$44&lt;=0.01*'матрица расходов'!D37,0,D$39))</f>
        <v>0</v>
      </c>
      <c r="E46">
        <f ca="1">IF(E$44&gt;0.01*('матрица расходов'!E37+'матрица расходов'!E38),0,IF(E$44&lt;=0.01*'матрица расходов'!E37,0,E$39))</f>
        <v>0</v>
      </c>
      <c r="F46">
        <f ca="1">IF(F$44&gt;0.01*('матрица расходов'!F37+'матрица расходов'!F38),0,IF(F$44&lt;=0.01*'матрица расходов'!F37,0,F$39))</f>
        <v>0</v>
      </c>
      <c r="G46">
        <f ca="1">IF(G$44&gt;0.01*('матрица расходов'!G37+'матрица расходов'!G38),0,IF(G$44&lt;=0.01*'матрица расходов'!G37,0,G$39))</f>
        <v>0</v>
      </c>
      <c r="H46">
        <f ca="1">IF(H$44&gt;0.01*('матрица расходов'!H37+'матрица расходов'!H38),0,IF(H$44&lt;=0.01*'матрица расходов'!H37,0,H$39))</f>
        <v>0</v>
      </c>
      <c r="I46">
        <f ca="1">IF(I$44&gt;0.01*('матрица расходов'!I37+'матрица расходов'!I38),0,IF(I$44&lt;=0.01*'матрица расходов'!I37,0,I$39))</f>
        <v>0</v>
      </c>
      <c r="J46">
        <f ca="1">IF(J$44&gt;0.01*('матрица расходов'!J37+'матрица расходов'!J38),0,IF(J$44&lt;=0.01*'матрица расходов'!J37,0,J$39))</f>
        <v>0</v>
      </c>
      <c r="K46">
        <f ca="1">IF(K$44&gt;0.01*('матрица расходов'!K37+'матрица расходов'!K38),0,IF(K$44&lt;=0.01*'матрица расходов'!K37,0,K$39))</f>
        <v>0</v>
      </c>
      <c r="L46">
        <f ca="1">IF(L$44&gt;0.01*('матрица расходов'!L37+'матрица расходов'!L38),0,IF(L$44&lt;=0.01*'матрица расходов'!L37,0,L$39))</f>
        <v>0</v>
      </c>
    </row>
    <row r="47" spans="2:13" x14ac:dyDescent="0.25">
      <c r="B47" s="63"/>
    </row>
    <row r="48" spans="2:13" ht="15.75" x14ac:dyDescent="0.25">
      <c r="B48" s="65" t="s">
        <v>112</v>
      </c>
      <c r="C48">
        <f ca="1">RAND()</f>
        <v>0.97009079032949419</v>
      </c>
      <c r="D48">
        <f t="shared" ref="D48:L48" ca="1" si="5">RAND()</f>
        <v>0.65583644690204679</v>
      </c>
      <c r="E48">
        <f t="shared" ca="1" si="5"/>
        <v>0.72191920332548787</v>
      </c>
      <c r="F48">
        <f t="shared" ca="1" si="5"/>
        <v>0.59574433139652649</v>
      </c>
      <c r="G48">
        <f t="shared" ca="1" si="5"/>
        <v>0.15536128190473919</v>
      </c>
      <c r="H48">
        <f t="shared" ca="1" si="5"/>
        <v>0.81607290531303744</v>
      </c>
      <c r="I48">
        <f t="shared" ca="1" si="5"/>
        <v>9.126901788223063E-3</v>
      </c>
      <c r="J48">
        <f t="shared" ca="1" si="5"/>
        <v>3.5379095809463523E-3</v>
      </c>
      <c r="K48">
        <f t="shared" ca="1" si="5"/>
        <v>0.77245934367416769</v>
      </c>
      <c r="L48">
        <f t="shared" ca="1" si="5"/>
        <v>0.5089988073317907</v>
      </c>
      <c r="M48" s="66" t="s">
        <v>108</v>
      </c>
    </row>
    <row r="49" spans="2:15" x14ac:dyDescent="0.25">
      <c r="B49" s="63" t="s">
        <v>71</v>
      </c>
      <c r="C49">
        <f ca="1">IF(C$48&gt;0.01*('матрица расходов'!C37+'матрица расходов'!C38),0,IF(C$48&gt;0.01*'матрица расходов'!C37,0,C$39))</f>
        <v>0</v>
      </c>
      <c r="D49">
        <f ca="1">IF(D$48&gt;0.01*('матрица расходов'!D37+'матрица расходов'!D38),0,IF(D$48&gt;0.01*'матрица расходов'!D37,0,D$39))</f>
        <v>0</v>
      </c>
      <c r="E49">
        <f ca="1">IF(E$48&gt;0.01*('матрица расходов'!E37+'матрица расходов'!E38),0,IF(E$48&gt;0.01*'матрица расходов'!E37,0,E$39))</f>
        <v>0</v>
      </c>
      <c r="F49">
        <f ca="1">IF(F$48&gt;0.01*('матрица расходов'!F37+'матрица расходов'!F38),0,IF(F$48&gt;0.01*'матрица расходов'!F37,0,F$39))</f>
        <v>0</v>
      </c>
      <c r="G49">
        <f ca="1">IF(G$48&gt;0.01*('матрица расходов'!G37+'матрица расходов'!G38),0,IF(G$48&gt;0.01*'матрица расходов'!G37,0,G$39))</f>
        <v>0</v>
      </c>
      <c r="H49">
        <f ca="1">IF(H$48&gt;0.01*('матрица расходов'!H37+'матрица расходов'!H38),0,IF(H$48&gt;0.01*'матрица расходов'!H37,0,H$39))</f>
        <v>0</v>
      </c>
      <c r="I49">
        <f ca="1">IF(I$48&gt;0.01*('матрица расходов'!I37+'матрица расходов'!I38),0,IF(I$48&gt;0.01*'матрица расходов'!I37,0,I$39))</f>
        <v>3058513977.8185105</v>
      </c>
      <c r="J49">
        <f ca="1">IF(J$48&gt;0.01*('матрица расходов'!J37+'матрица расходов'!J38),0,IF(J$48&gt;0.01*'матрица расходов'!J37,0,J$39))</f>
        <v>2160819488.7005653</v>
      </c>
      <c r="K49">
        <f ca="1">IF(K$48&gt;0.01*('матрица расходов'!K37+'матрица расходов'!K38),0,IF(K$48&gt;0.01*'матрица расходов'!K37,0,K$39))</f>
        <v>0</v>
      </c>
      <c r="L49">
        <f ca="1">IF(L$48&gt;0.01*('матрица расходов'!L37+'матрица расходов'!L38),0,IF(L$48&gt;0.01*'матрица расходов'!L37,0,L$39))</f>
        <v>0</v>
      </c>
    </row>
    <row r="50" spans="2:15" x14ac:dyDescent="0.25">
      <c r="B50" s="63" t="s">
        <v>72</v>
      </c>
      <c r="C50">
        <f ca="1">IF(C$48&gt;0.01*('матрица расходов'!C37+'матрица расходов'!C38),0,IF(C$48&lt;=0.01*'матрица расходов'!C37,0,C$39))</f>
        <v>0</v>
      </c>
      <c r="D50">
        <f ca="1">IF(D$48&gt;0.01*('матрица расходов'!D37+'матрица расходов'!D38),0,IF(D$48&lt;=0.01*'матрица расходов'!D37,0,D$39))</f>
        <v>0</v>
      </c>
      <c r="E50">
        <f ca="1">IF(E$48&gt;0.01*('матрица расходов'!E37+'матрица расходов'!E38),0,IF(E$48&lt;=0.01*'матрица расходов'!E37,0,E$39))</f>
        <v>0</v>
      </c>
      <c r="F50">
        <f ca="1">IF(F$48&gt;0.01*('матрица расходов'!F37+'матрица расходов'!F38),0,IF(F$48&lt;=0.01*'матрица расходов'!F37,0,F$39))</f>
        <v>0</v>
      </c>
      <c r="G50">
        <f ca="1">IF(G$48&gt;0.01*('матрица расходов'!G37+'матрица расходов'!G38),0,IF(G$48&lt;=0.01*'матрица расходов'!G37,0,G$39))</f>
        <v>1437119311.5084779</v>
      </c>
      <c r="H50">
        <f ca="1">IF(H$48&gt;0.01*('матрица расходов'!H37+'матрица расходов'!H38),0,IF(H$48&lt;=0.01*'матрица расходов'!H37,0,H$39))</f>
        <v>0</v>
      </c>
      <c r="I50">
        <f ca="1">IF(I$48&gt;0.01*('матрица расходов'!I37+'матрица расходов'!I38),0,IF(I$48&lt;=0.01*'матрица расходов'!I37,0,I$39))</f>
        <v>0</v>
      </c>
      <c r="J50">
        <f ca="1">IF(J$48&gt;0.01*('матрица расходов'!J37+'матрица расходов'!J38),0,IF(J$48&lt;=0.01*'матрица расходов'!J37,0,J$39))</f>
        <v>0</v>
      </c>
      <c r="K50">
        <f ca="1">IF(K$48&gt;0.01*('матрица расходов'!K37+'матрица расходов'!K38),0,IF(K$48&lt;=0.01*'матрица расходов'!K37,0,K$39))</f>
        <v>0</v>
      </c>
      <c r="L50">
        <f ca="1">IF(L$48&gt;0.01*('матрица расходов'!L37+'матрица расходов'!L38),0,IF(L$48&lt;=0.01*'матрица расходов'!L37,0,L$39))</f>
        <v>0</v>
      </c>
    </row>
    <row r="52" spans="2:15" x14ac:dyDescent="0.25">
      <c r="B52" s="63" t="s">
        <v>113</v>
      </c>
    </row>
    <row r="54" spans="2:15" x14ac:dyDescent="0.25">
      <c r="B54" s="63" t="s">
        <v>71</v>
      </c>
      <c r="C54">
        <f ca="1">C18+C20+C27+C31+C35+C41+C45+C49</f>
        <v>503476631.97160119</v>
      </c>
      <c r="D54">
        <f t="shared" ref="D54:L54" ca="1" si="6">D18+D20+D27+D31+D35+D41+D45+D49</f>
        <v>712649025.63281715</v>
      </c>
      <c r="E54">
        <f t="shared" ca="1" si="6"/>
        <v>2590373269.8811502</v>
      </c>
      <c r="F54">
        <f t="shared" ca="1" si="6"/>
        <v>3496646087.4623308</v>
      </c>
      <c r="G54">
        <f t="shared" ca="1" si="6"/>
        <v>3950660911.1273041</v>
      </c>
      <c r="H54">
        <f t="shared" ca="1" si="6"/>
        <v>4511031613.2477455</v>
      </c>
      <c r="I54">
        <f t="shared" ca="1" si="6"/>
        <v>5145363472.2150869</v>
      </c>
      <c r="J54">
        <f t="shared" ca="1" si="6"/>
        <v>4663046585.5924559</v>
      </c>
      <c r="K54">
        <f t="shared" ca="1" si="6"/>
        <v>3006716952.6733332</v>
      </c>
      <c r="L54">
        <f t="shared" ca="1" si="6"/>
        <v>3639345966.3725166</v>
      </c>
    </row>
    <row r="55" spans="2:15" x14ac:dyDescent="0.25">
      <c r="B55" s="63" t="s">
        <v>72</v>
      </c>
      <c r="C55">
        <f ca="1">C19+C21+C28+C32+C36+C42+C46+C50</f>
        <v>138418127.44751573</v>
      </c>
      <c r="D55">
        <f t="shared" ref="D55:L55" ca="1" si="7">D19+D21+D28+D32+D36+D42+D46+D50</f>
        <v>210126012.59952298</v>
      </c>
      <c r="E55">
        <f t="shared" ca="1" si="7"/>
        <v>295779511.45471203</v>
      </c>
      <c r="F55">
        <f t="shared" ca="1" si="7"/>
        <v>1275137205.629673</v>
      </c>
      <c r="G55">
        <f t="shared" ca="1" si="7"/>
        <v>1962857167.068994</v>
      </c>
      <c r="H55">
        <f t="shared" ca="1" si="7"/>
        <v>2766339535.3404016</v>
      </c>
      <c r="I55">
        <f t="shared" ca="1" si="7"/>
        <v>995702489.61887062</v>
      </c>
      <c r="J55">
        <f t="shared" ca="1" si="7"/>
        <v>6182210746.7357359</v>
      </c>
      <c r="K55">
        <f t="shared" ca="1" si="7"/>
        <v>2111258891.6445909</v>
      </c>
      <c r="L55">
        <f t="shared" ca="1" si="7"/>
        <v>3152393800.9132357</v>
      </c>
    </row>
    <row r="57" spans="2:15" ht="15.75" thickBot="1" x14ac:dyDescent="0.3">
      <c r="B57" s="63" t="s">
        <v>114</v>
      </c>
      <c r="M57" s="67" t="s">
        <v>115</v>
      </c>
    </row>
    <row r="58" spans="2:15" ht="18.75" x14ac:dyDescent="0.3">
      <c r="B58" s="63" t="s">
        <v>71</v>
      </c>
      <c r="C58">
        <f ca="1">C54*0.000001</f>
        <v>503.47663197160119</v>
      </c>
      <c r="D58">
        <f t="shared" ref="D58:L58" ca="1" si="8">D54*0.000001</f>
        <v>712.64902563281714</v>
      </c>
      <c r="E58">
        <f t="shared" ca="1" si="8"/>
        <v>2590.37326988115</v>
      </c>
      <c r="F58">
        <f t="shared" ca="1" si="8"/>
        <v>3496.6460874623308</v>
      </c>
      <c r="G58">
        <f t="shared" ca="1" si="8"/>
        <v>3950.6609111273037</v>
      </c>
      <c r="H58">
        <f t="shared" ca="1" si="8"/>
        <v>4511.0316132477456</v>
      </c>
      <c r="I58">
        <f t="shared" ca="1" si="8"/>
        <v>5145.3634722150864</v>
      </c>
      <c r="J58">
        <f t="shared" ca="1" si="8"/>
        <v>4663.0465855924558</v>
      </c>
      <c r="K58">
        <f t="shared" ca="1" si="8"/>
        <v>3006.7169526733333</v>
      </c>
      <c r="L58">
        <f t="shared" ca="1" si="8"/>
        <v>3639.3459663725166</v>
      </c>
      <c r="M58" s="32">
        <f ca="1">SUM(C58:L58)</f>
        <v>32219.310516176338</v>
      </c>
      <c r="O58" s="68" t="s">
        <v>122</v>
      </c>
    </row>
    <row r="59" spans="2:15" ht="19.5" thickBot="1" x14ac:dyDescent="0.35">
      <c r="B59" s="63" t="s">
        <v>72</v>
      </c>
      <c r="C59">
        <f t="shared" ref="C59:L59" ca="1" si="9">C55*0.000001</f>
        <v>138.41812744751573</v>
      </c>
      <c r="D59">
        <f t="shared" ca="1" si="9"/>
        <v>210.12601259952297</v>
      </c>
      <c r="E59">
        <f t="shared" ca="1" si="9"/>
        <v>295.77951145471201</v>
      </c>
      <c r="F59">
        <f t="shared" ca="1" si="9"/>
        <v>1275.137205629673</v>
      </c>
      <c r="G59">
        <f t="shared" ca="1" si="9"/>
        <v>1962.8571670689939</v>
      </c>
      <c r="H59">
        <f t="shared" ca="1" si="9"/>
        <v>2766.3395353404017</v>
      </c>
      <c r="I59">
        <f t="shared" ca="1" si="9"/>
        <v>995.70248961887057</v>
      </c>
      <c r="J59">
        <f t="shared" ca="1" si="9"/>
        <v>6182.2107467357355</v>
      </c>
      <c r="K59">
        <f t="shared" ca="1" si="9"/>
        <v>2111.2588916445907</v>
      </c>
      <c r="L59">
        <f t="shared" ca="1" si="9"/>
        <v>3152.3938009132357</v>
      </c>
      <c r="M59" s="34">
        <f ca="1">SUM(C59:L59)</f>
        <v>19090.223488453252</v>
      </c>
      <c r="O59" s="68" t="s">
        <v>123</v>
      </c>
    </row>
    <row r="61" spans="2:15" ht="15.75" thickBot="1" x14ac:dyDescent="0.3"/>
    <row r="62" spans="2:15" ht="21.75" thickBot="1" x14ac:dyDescent="0.4">
      <c r="B62" s="44">
        <v>2017</v>
      </c>
    </row>
    <row r="64" spans="2:15" x14ac:dyDescent="0.25">
      <c r="B64" s="21" t="s">
        <v>91</v>
      </c>
    </row>
    <row r="65" spans="2:2" x14ac:dyDescent="0.25">
      <c r="B65" s="21" t="s">
        <v>91</v>
      </c>
    </row>
    <row r="66" spans="2:2" x14ac:dyDescent="0.25">
      <c r="B66" s="21" t="s">
        <v>91</v>
      </c>
    </row>
  </sheetData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7"/>
  <dimension ref="A1:N35"/>
  <sheetViews>
    <sheetView workbookViewId="0"/>
  </sheetViews>
  <sheetFormatPr defaultRowHeight="15" x14ac:dyDescent="0.25"/>
  <sheetData>
    <row r="1" spans="1:14" x14ac:dyDescent="0.25">
      <c r="A1" s="21" t="s">
        <v>19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0.1997251071975582</v>
      </c>
      <c r="D28">
        <f ca="1">RAND()</f>
        <v>0.5156908036518435</v>
      </c>
      <c r="E28">
        <f ca="1">RAND()</f>
        <v>0.45735450003381095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51.545791135340636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8"/>
  <dimension ref="A1:N35"/>
  <sheetViews>
    <sheetView topLeftCell="A37" workbookViewId="0">
      <selection activeCell="G56" sqref="G5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5.3871127780372619E-2</v>
      </c>
      <c r="D28">
        <f ca="1">RAND()</f>
        <v>0.4736478495765778</v>
      </c>
      <c r="E28">
        <f ca="1">RAND()</f>
        <v>0.71266048775465973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-62.655439656521708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9"/>
  <dimension ref="A1:N35"/>
  <sheetViews>
    <sheetView workbookViewId="0">
      <selection activeCell="H38" sqref="H38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0.5227763681722829</v>
      </c>
      <c r="D28">
        <f ca="1">RAND()</f>
        <v>0.45321316993995342</v>
      </c>
      <c r="E28">
        <f ca="1">RAND()</f>
        <v>0.45349962669596966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118.04523249498774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0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0.87082055519321533</v>
      </c>
      <c r="D28">
        <f ca="1">RAND()</f>
        <v>0.1838435108129528</v>
      </c>
      <c r="E28">
        <f ca="1">RAND()</f>
        <v>0.72295857164066024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14.827231028048974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1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0.14549913582355678</v>
      </c>
      <c r="D28">
        <f ca="1">RAND()</f>
        <v>0.67778653833941382</v>
      </c>
      <c r="E28">
        <f ca="1">RAND()</f>
        <v>0.95944779347219378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-25.533678787551267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2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0.8151449200510601</v>
      </c>
      <c r="D28">
        <f ca="1">RAND()</f>
        <v>0.54037279444763531</v>
      </c>
      <c r="E28">
        <f ca="1">RAND()</f>
        <v>0.48683485162813867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-43.380358215949549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3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0.30812990029544318</v>
      </c>
      <c r="D28">
        <f ca="1">RAND()</f>
        <v>6.4538056553457568E-2</v>
      </c>
      <c r="E28">
        <f ca="1">RAND()</f>
        <v>0.44473389011272935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31.600023996689316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4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0.82302790893355948</v>
      </c>
      <c r="D28">
        <f ca="1">RAND()</f>
        <v>0.99604762110609879</v>
      </c>
      <c r="E28">
        <f ca="1">RAND()</f>
        <v>0.79579564377107015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-140.65589893277652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15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0.32703539215371447</v>
      </c>
      <c r="D28">
        <f ca="1">RAND()</f>
        <v>0.55587994195856083</v>
      </c>
      <c r="E28">
        <f ca="1">RAND()</f>
        <v>0.82809241236124354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-80.215924841557651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16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0.97533121421734315</v>
      </c>
      <c r="D28">
        <f ca="1">RAND()</f>
        <v>0.13729250211013788</v>
      </c>
      <c r="E28">
        <f ca="1">RAND()</f>
        <v>0.96260903867094161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128.77148940030196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7"/>
  <dimension ref="A1:M37"/>
  <sheetViews>
    <sheetView workbookViewId="0">
      <selection activeCell="C10" sqref="C10"/>
    </sheetView>
  </sheetViews>
  <sheetFormatPr defaultRowHeight="15" x14ac:dyDescent="0.25"/>
  <cols>
    <col min="1" max="1" width="44.7109375" customWidth="1"/>
    <col min="2" max="2" width="24.85546875" customWidth="1"/>
    <col min="3" max="3" width="31.7109375" customWidth="1"/>
    <col min="4" max="4" width="12.5703125" customWidth="1"/>
    <col min="5" max="5" width="21.28515625" customWidth="1"/>
    <col min="6" max="6" width="15.7109375" customWidth="1"/>
    <col min="7" max="8" width="22.28515625" customWidth="1"/>
  </cols>
  <sheetData>
    <row r="1" spans="1:13" x14ac:dyDescent="0.25">
      <c r="A1" t="s">
        <v>0</v>
      </c>
    </row>
    <row r="4" spans="1:13" ht="64.5" customHeight="1" thickBot="1" x14ac:dyDescent="0.3">
      <c r="A4" s="2" t="s">
        <v>2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</row>
    <row r="5" spans="1:13" ht="42" thickBot="1" x14ac:dyDescent="0.3">
      <c r="A5" s="3" t="s">
        <v>3</v>
      </c>
      <c r="B5" s="1">
        <v>5907.6</v>
      </c>
      <c r="C5" s="1">
        <v>7119.2</v>
      </c>
      <c r="D5" s="1">
        <v>8265.4</v>
      </c>
      <c r="E5" s="1">
        <v>11047.2</v>
      </c>
      <c r="F5" s="1">
        <v>12704.8</v>
      </c>
      <c r="G5" s="1">
        <v>14204.5</v>
      </c>
      <c r="H5" s="1">
        <v>15968.8</v>
      </c>
      <c r="I5" s="1">
        <v>17545.599999999999</v>
      </c>
      <c r="J5" s="1">
        <v>19886.099999999999</v>
      </c>
      <c r="K5" s="1">
        <v>20520</v>
      </c>
      <c r="L5" s="1">
        <v>22980.2</v>
      </c>
      <c r="M5" s="1" t="s">
        <v>1</v>
      </c>
    </row>
    <row r="7" spans="1:13" x14ac:dyDescent="0.25">
      <c r="A7" t="s">
        <v>21</v>
      </c>
      <c r="B7">
        <v>2016</v>
      </c>
    </row>
    <row r="8" spans="1:13" x14ac:dyDescent="0.25">
      <c r="A8" s="5" t="s">
        <v>5</v>
      </c>
      <c r="B8" s="6">
        <v>1000000</v>
      </c>
      <c r="C8" s="9" t="s">
        <v>13</v>
      </c>
    </row>
    <row r="10" spans="1:13" ht="47.25" customHeight="1" x14ac:dyDescent="0.25">
      <c r="A10" s="4" t="s">
        <v>4</v>
      </c>
      <c r="B10" s="4" t="s">
        <v>12</v>
      </c>
      <c r="C10" s="12" t="s">
        <v>20</v>
      </c>
      <c r="D10" s="12" t="s">
        <v>18</v>
      </c>
      <c r="E10" s="12" t="s">
        <v>14</v>
      </c>
      <c r="F10" s="12" t="s">
        <v>15</v>
      </c>
      <c r="G10" s="12" t="s">
        <v>16</v>
      </c>
      <c r="H10" s="12" t="s">
        <v>17</v>
      </c>
    </row>
    <row r="11" spans="1:13" ht="15.75" x14ac:dyDescent="0.25">
      <c r="A11" s="7">
        <v>0</v>
      </c>
      <c r="B11" s="4"/>
    </row>
    <row r="12" spans="1:13" x14ac:dyDescent="0.25">
      <c r="A12">
        <v>1</v>
      </c>
      <c r="B12" s="8">
        <f>$B$8/10</f>
        <v>100000</v>
      </c>
      <c r="C12" s="8"/>
    </row>
    <row r="13" spans="1:13" x14ac:dyDescent="0.25">
      <c r="A13">
        <v>2</v>
      </c>
      <c r="B13" s="8">
        <f t="shared" ref="B13:B21" si="0">$B$8/10</f>
        <v>100000</v>
      </c>
      <c r="C13" s="8"/>
      <c r="G13" s="10"/>
      <c r="H13" s="10"/>
      <c r="I13" s="10"/>
    </row>
    <row r="14" spans="1:13" ht="15.75" x14ac:dyDescent="0.25">
      <c r="A14">
        <v>3</v>
      </c>
      <c r="B14" s="8">
        <f t="shared" si="0"/>
        <v>100000</v>
      </c>
      <c r="C14" s="8"/>
      <c r="G14" s="10"/>
      <c r="H14" s="11"/>
      <c r="I14" s="10"/>
    </row>
    <row r="15" spans="1:13" x14ac:dyDescent="0.25">
      <c r="A15">
        <v>4</v>
      </c>
      <c r="B15" s="8">
        <f t="shared" si="0"/>
        <v>100000</v>
      </c>
      <c r="C15" s="8"/>
      <c r="G15" s="10"/>
      <c r="H15" s="10"/>
      <c r="I15" s="10"/>
    </row>
    <row r="16" spans="1:13" x14ac:dyDescent="0.25">
      <c r="A16">
        <v>5</v>
      </c>
      <c r="B16" s="8">
        <f t="shared" si="0"/>
        <v>100000</v>
      </c>
      <c r="C16" s="8"/>
      <c r="G16" s="10"/>
      <c r="H16" s="10"/>
      <c r="I16" s="10"/>
    </row>
    <row r="17" spans="1:9" x14ac:dyDescent="0.25">
      <c r="A17">
        <v>6</v>
      </c>
      <c r="B17" s="8">
        <f t="shared" si="0"/>
        <v>100000</v>
      </c>
      <c r="C17" s="8"/>
      <c r="G17" s="10"/>
      <c r="H17" s="10"/>
      <c r="I17" s="10"/>
    </row>
    <row r="18" spans="1:9" x14ac:dyDescent="0.25">
      <c r="A18">
        <v>7</v>
      </c>
      <c r="B18" s="8">
        <f t="shared" si="0"/>
        <v>100000</v>
      </c>
      <c r="C18" s="8"/>
    </row>
    <row r="19" spans="1:9" x14ac:dyDescent="0.25">
      <c r="A19">
        <v>8</v>
      </c>
      <c r="B19" s="8">
        <f t="shared" si="0"/>
        <v>100000</v>
      </c>
      <c r="C19" s="8"/>
    </row>
    <row r="20" spans="1:9" x14ac:dyDescent="0.25">
      <c r="A20">
        <v>9</v>
      </c>
      <c r="B20" s="8">
        <f t="shared" si="0"/>
        <v>100000</v>
      </c>
      <c r="C20" s="8"/>
    </row>
    <row r="21" spans="1:9" x14ac:dyDescent="0.25">
      <c r="A21">
        <v>10</v>
      </c>
      <c r="B21" s="8">
        <f t="shared" si="0"/>
        <v>100000</v>
      </c>
      <c r="C21" s="8"/>
    </row>
    <row r="25" spans="1:9" x14ac:dyDescent="0.25">
      <c r="A25" s="14" t="s">
        <v>22</v>
      </c>
      <c r="B25" s="9" t="s">
        <v>24</v>
      </c>
    </row>
    <row r="26" spans="1:9" ht="15.75" x14ac:dyDescent="0.25">
      <c r="A26" s="13" t="s">
        <v>25</v>
      </c>
      <c r="B26" s="17">
        <v>0.01</v>
      </c>
    </row>
    <row r="27" spans="1:9" ht="15.75" x14ac:dyDescent="0.25">
      <c r="A27" s="13" t="s">
        <v>26</v>
      </c>
      <c r="B27" s="18">
        <v>0.02</v>
      </c>
    </row>
    <row r="28" spans="1:9" ht="15.75" x14ac:dyDescent="0.25">
      <c r="A28" s="13" t="s">
        <v>6</v>
      </c>
      <c r="B28" s="19">
        <v>5.2999999999999999E-2</v>
      </c>
    </row>
    <row r="29" spans="1:9" ht="15.75" x14ac:dyDescent="0.25">
      <c r="A29" s="13" t="s">
        <v>7</v>
      </c>
      <c r="B29" s="19">
        <v>0.111</v>
      </c>
    </row>
    <row r="30" spans="1:9" ht="15.75" x14ac:dyDescent="0.25">
      <c r="A30" s="13" t="s">
        <v>8</v>
      </c>
      <c r="B30" s="19">
        <v>0.161</v>
      </c>
    </row>
    <row r="31" spans="1:9" ht="15.75" x14ac:dyDescent="0.25">
      <c r="A31" s="13" t="s">
        <v>9</v>
      </c>
      <c r="B31" s="19">
        <v>0.17499999999999999</v>
      </c>
    </row>
    <row r="32" spans="1:9" ht="15.75" x14ac:dyDescent="0.25">
      <c r="A32" s="13" t="s">
        <v>10</v>
      </c>
      <c r="B32" s="19">
        <v>0.192</v>
      </c>
    </row>
    <row r="33" spans="1:2" ht="15.75" x14ac:dyDescent="0.25">
      <c r="A33" s="13" t="s">
        <v>11</v>
      </c>
      <c r="B33" s="19">
        <v>0.187</v>
      </c>
    </row>
    <row r="34" spans="1:2" ht="15.75" x14ac:dyDescent="0.25">
      <c r="A34" s="13" t="s">
        <v>27</v>
      </c>
      <c r="B34" s="19">
        <v>8.1000000000000003E-2</v>
      </c>
    </row>
    <row r="35" spans="1:2" ht="15.75" x14ac:dyDescent="0.25">
      <c r="A35" s="13" t="s">
        <v>28</v>
      </c>
      <c r="B35" s="20">
        <v>0.01</v>
      </c>
    </row>
    <row r="37" spans="1:2" ht="31.5" x14ac:dyDescent="0.25">
      <c r="A37" s="15" t="s">
        <v>23</v>
      </c>
      <c r="B37" s="16">
        <v>22980.2</v>
      </c>
    </row>
  </sheetData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9"/>
  <dimension ref="A1:L4"/>
  <sheetViews>
    <sheetView workbookViewId="0">
      <selection activeCell="L10" sqref="L10"/>
    </sheetView>
  </sheetViews>
  <sheetFormatPr defaultRowHeight="15" x14ac:dyDescent="0.25"/>
  <cols>
    <col min="1" max="1" width="22" customWidth="1"/>
    <col min="11" max="11" width="13.5703125" customWidth="1"/>
  </cols>
  <sheetData>
    <row r="1" spans="1:12" x14ac:dyDescent="0.25">
      <c r="A1" t="s">
        <v>145</v>
      </c>
    </row>
    <row r="2" spans="1:12" x14ac:dyDescent="0.25">
      <c r="K2" t="s">
        <v>151</v>
      </c>
      <c r="L2" t="s">
        <v>21</v>
      </c>
    </row>
    <row r="3" spans="1:12" x14ac:dyDescent="0.25">
      <c r="A3" t="s">
        <v>146</v>
      </c>
      <c r="B3" t="s">
        <v>147</v>
      </c>
      <c r="K3" t="s">
        <v>149</v>
      </c>
      <c r="L3">
        <v>2016</v>
      </c>
    </row>
    <row r="4" spans="1:12" x14ac:dyDescent="0.25">
      <c r="K4" t="s">
        <v>150</v>
      </c>
      <c r="L4">
        <v>2017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0"/>
  <dimension ref="B5:X32"/>
  <sheetViews>
    <sheetView workbookViewId="0">
      <selection sqref="A1:XFD1048576"/>
    </sheetView>
  </sheetViews>
  <sheetFormatPr defaultColWidth="9.140625" defaultRowHeight="15" x14ac:dyDescent="0.25"/>
  <cols>
    <col min="1" max="16384" width="9.140625" style="10"/>
  </cols>
  <sheetData>
    <row r="5" spans="2:24" ht="21" x14ac:dyDescent="0.35">
      <c r="C5" s="105"/>
      <c r="E5" s="113"/>
      <c r="M5" s="114"/>
      <c r="X5" s="115"/>
    </row>
    <row r="6" spans="2:24" x14ac:dyDescent="0.25">
      <c r="K6" s="116"/>
      <c r="X6" s="115"/>
    </row>
    <row r="7" spans="2:24" ht="18.75" x14ac:dyDescent="0.3">
      <c r="G7" s="117"/>
      <c r="X7" s="115"/>
    </row>
    <row r="8" spans="2:24" ht="21" x14ac:dyDescent="0.35">
      <c r="B8" s="118"/>
      <c r="G8" s="105"/>
      <c r="J8" s="119"/>
      <c r="O8" s="120"/>
      <c r="X8" s="115"/>
    </row>
    <row r="9" spans="2:24" x14ac:dyDescent="0.25">
      <c r="G9" s="121"/>
      <c r="I9" s="120"/>
      <c r="J9" s="122"/>
      <c r="K9" s="123"/>
      <c r="O9" s="123"/>
      <c r="X9" s="115"/>
    </row>
    <row r="10" spans="2:24" x14ac:dyDescent="0.25">
      <c r="G10" s="121"/>
      <c r="I10" s="120"/>
      <c r="J10" s="122"/>
      <c r="K10" s="123"/>
      <c r="X10" s="115"/>
    </row>
    <row r="11" spans="2:24" x14ac:dyDescent="0.25">
      <c r="G11" s="121"/>
      <c r="J11" s="122"/>
      <c r="K11" s="123"/>
      <c r="X11" s="115"/>
    </row>
    <row r="12" spans="2:24" x14ac:dyDescent="0.25">
      <c r="G12" s="124"/>
      <c r="H12" s="124"/>
      <c r="I12" s="124"/>
      <c r="J12" s="124"/>
      <c r="K12" s="125"/>
      <c r="L12" s="124"/>
      <c r="M12" s="124"/>
      <c r="N12" s="124"/>
      <c r="O12" s="124"/>
      <c r="P12" s="124"/>
      <c r="X12" s="115"/>
    </row>
    <row r="13" spans="2:24" x14ac:dyDescent="0.25">
      <c r="G13" s="126"/>
      <c r="H13" s="126"/>
      <c r="I13" s="126"/>
      <c r="J13" s="126"/>
      <c r="K13" s="126"/>
      <c r="L13" s="126"/>
      <c r="M13" s="126"/>
      <c r="N13" s="126"/>
      <c r="O13" s="127"/>
      <c r="P13" s="127"/>
      <c r="Q13" s="128"/>
      <c r="R13" s="128"/>
      <c r="X13" s="115"/>
    </row>
    <row r="14" spans="2:24" x14ac:dyDescent="0.25">
      <c r="O14" s="72"/>
      <c r="P14" s="72"/>
      <c r="Q14" s="72"/>
      <c r="R14" s="72"/>
      <c r="X14" s="115"/>
    </row>
    <row r="15" spans="2:24" x14ac:dyDescent="0.25">
      <c r="G15" s="129"/>
      <c r="H15" s="129"/>
      <c r="I15" s="129"/>
      <c r="L15" s="130"/>
      <c r="O15" s="131"/>
      <c r="X15" s="115"/>
    </row>
    <row r="16" spans="2:24" x14ac:dyDescent="0.25">
      <c r="G16" s="72"/>
      <c r="H16" s="72"/>
      <c r="I16" s="72"/>
      <c r="O16" s="73"/>
      <c r="X16" s="115"/>
    </row>
    <row r="17" spans="5:24" x14ac:dyDescent="0.25">
      <c r="G17" s="72"/>
      <c r="H17" s="72"/>
      <c r="I17" s="72"/>
      <c r="O17" s="73"/>
      <c r="X17" s="115"/>
    </row>
    <row r="18" spans="5:24" x14ac:dyDescent="0.25">
      <c r="E18" s="132"/>
      <c r="X18" s="115"/>
    </row>
    <row r="19" spans="5:24" x14ac:dyDescent="0.25"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X19" s="115"/>
    </row>
    <row r="20" spans="5:24" x14ac:dyDescent="0.25"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X20" s="115"/>
    </row>
    <row r="21" spans="5:24" x14ac:dyDescent="0.25">
      <c r="E21" s="133"/>
      <c r="X21" s="115"/>
    </row>
    <row r="22" spans="5:24" x14ac:dyDescent="0.25">
      <c r="X22" s="115"/>
    </row>
    <row r="23" spans="5:24" x14ac:dyDescent="0.25"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X23" s="115"/>
    </row>
    <row r="24" spans="5:24" x14ac:dyDescent="0.25">
      <c r="E24" s="134"/>
      <c r="G24" s="123"/>
      <c r="X24" s="115"/>
    </row>
    <row r="25" spans="5:24" x14ac:dyDescent="0.25">
      <c r="X25" s="115"/>
    </row>
    <row r="26" spans="5:24" x14ac:dyDescent="0.25">
      <c r="X26" s="115"/>
    </row>
    <row r="27" spans="5:24" x14ac:dyDescent="0.25"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X27" s="115"/>
    </row>
    <row r="28" spans="5:24" x14ac:dyDescent="0.25">
      <c r="X28" s="115"/>
    </row>
    <row r="29" spans="5:24" x14ac:dyDescent="0.25">
      <c r="X29" s="115"/>
    </row>
    <row r="30" spans="5:24" x14ac:dyDescent="0.25"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X30" s="115"/>
    </row>
    <row r="31" spans="5:24" ht="18.75" x14ac:dyDescent="0.3">
      <c r="E31" s="13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T31" s="135"/>
      <c r="X31" s="115"/>
    </row>
    <row r="32" spans="5:24" x14ac:dyDescent="0.25">
      <c r="X32" s="115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89</vt:i4>
      </vt:variant>
    </vt:vector>
  </HeadingPairs>
  <TitlesOfParts>
    <vt:vector size="110" baseType="lpstr">
      <vt:lpstr>выход</vt:lpstr>
      <vt:lpstr>вход</vt:lpstr>
      <vt:lpstr>расслоение</vt:lpstr>
      <vt:lpstr>Прожит минимум</vt:lpstr>
      <vt:lpstr>матрица расходов</vt:lpstr>
      <vt:lpstr>Коэфф фондов</vt:lpstr>
      <vt:lpstr>доходы</vt:lpstr>
      <vt:lpstr>расходы</vt:lpstr>
      <vt:lpstr>Д1</vt:lpstr>
      <vt:lpstr>Д2</vt:lpstr>
      <vt:lpstr>Д3</vt:lpstr>
      <vt:lpstr>Д4</vt:lpstr>
      <vt:lpstr>Д5</vt:lpstr>
      <vt:lpstr>Д6</vt:lpstr>
      <vt:lpstr>Д7</vt:lpstr>
      <vt:lpstr>Д8</vt:lpstr>
      <vt:lpstr>Д9</vt:lpstr>
      <vt:lpstr>Д10</vt:lpstr>
      <vt:lpstr>Лист1</vt:lpstr>
      <vt:lpstr>Лист2</vt:lpstr>
      <vt:lpstr>Лист3</vt:lpstr>
      <vt:lpstr>decdoh2016</vt:lpstr>
      <vt:lpstr>decdoh2017</vt:lpstr>
      <vt:lpstr>decdoh2018</vt:lpstr>
      <vt:lpstr>decdoh2019</vt:lpstr>
      <vt:lpstr>decdoh2020</vt:lpstr>
      <vt:lpstr>decdoh2021</vt:lpstr>
      <vt:lpstr>decdoh2022</vt:lpstr>
      <vt:lpstr>decdoh2023</vt:lpstr>
      <vt:lpstr>decdoh2024</vt:lpstr>
      <vt:lpstr>decdoh2025</vt:lpstr>
      <vt:lpstr>decdoh2026</vt:lpstr>
      <vt:lpstr>decdoh2027</vt:lpstr>
      <vt:lpstr>decdoh2028</vt:lpstr>
      <vt:lpstr>decdoh2029</vt:lpstr>
      <vt:lpstr>decdoh2030</vt:lpstr>
      <vt:lpstr>dohod2016</vt:lpstr>
      <vt:lpstr>dohod2017</vt:lpstr>
      <vt:lpstr>dohod2018</vt:lpstr>
      <vt:lpstr>dohod2019</vt:lpstr>
      <vt:lpstr>dohod2020</vt:lpstr>
      <vt:lpstr>dohod2021</vt:lpstr>
      <vt:lpstr>dohod2022</vt:lpstr>
      <vt:lpstr>dohod2023</vt:lpstr>
      <vt:lpstr>dohod2024</vt:lpstr>
      <vt:lpstr>dohod2025</vt:lpstr>
      <vt:lpstr>dohod2026</vt:lpstr>
      <vt:lpstr>dohod2027</vt:lpstr>
      <vt:lpstr>dohod2028</vt:lpstr>
      <vt:lpstr>dohod2029</vt:lpstr>
      <vt:lpstr>dohod2030</vt:lpstr>
      <vt:lpstr>dohod2031</vt:lpstr>
      <vt:lpstr>Dohvnebud</vt:lpstr>
      <vt:lpstr>DRRD</vt:lpstr>
      <vt:lpstr>DRRR</vt:lpstr>
      <vt:lpstr>input201</vt:lpstr>
      <vt:lpstr>input2016</vt:lpstr>
      <vt:lpstr>input2017</vt:lpstr>
      <vt:lpstr>input2018</vt:lpstr>
      <vt:lpstr>input2019</vt:lpstr>
      <vt:lpstr>input2020</vt:lpstr>
      <vt:lpstr>input2021</vt:lpstr>
      <vt:lpstr>input2022</vt:lpstr>
      <vt:lpstr>input2023</vt:lpstr>
      <vt:lpstr>input2024</vt:lpstr>
      <vt:lpstr>input2025</vt:lpstr>
      <vt:lpstr>input2026</vt:lpstr>
      <vt:lpstr>input2027</vt:lpstr>
      <vt:lpstr>input2028</vt:lpstr>
      <vt:lpstr>input2029</vt:lpstr>
      <vt:lpstr>input2030</vt:lpstr>
      <vt:lpstr>input2031</vt:lpstr>
      <vt:lpstr>NA</vt:lpstr>
      <vt:lpstr>ndec1_2016</vt:lpstr>
      <vt:lpstr>ndec1_2017</vt:lpstr>
      <vt:lpstr>ndec1_2018</vt:lpstr>
      <vt:lpstr>ndec1_2019</vt:lpstr>
      <vt:lpstr>ndec1_2020</vt:lpstr>
      <vt:lpstr>ndec1_2021</vt:lpstr>
      <vt:lpstr>ndec1_2022</vt:lpstr>
      <vt:lpstr>ndec1_2023</vt:lpstr>
      <vt:lpstr>ndec1_2024</vt:lpstr>
      <vt:lpstr>ndec1_2025</vt:lpstr>
      <vt:lpstr>ndec1_2026</vt:lpstr>
      <vt:lpstr>ndec1_2027</vt:lpstr>
      <vt:lpstr>ndec1_2028</vt:lpstr>
      <vt:lpstr>ndec1_2029</vt:lpstr>
      <vt:lpstr>ndec1_2030</vt:lpstr>
      <vt:lpstr>NNNdec1_2016</vt:lpstr>
      <vt:lpstr>NNNdec1_2017</vt:lpstr>
      <vt:lpstr>NNNdec1_2018</vt:lpstr>
      <vt:lpstr>NNNdec1_2019</vt:lpstr>
      <vt:lpstr>NNNdec1_2020</vt:lpstr>
      <vt:lpstr>NNNdec1_2021</vt:lpstr>
      <vt:lpstr>NNNdec1_2022</vt:lpstr>
      <vt:lpstr>NNNdec1_2023</vt:lpstr>
      <vt:lpstr>NNNdec1_2024</vt:lpstr>
      <vt:lpstr>NNNdec1_2025</vt:lpstr>
      <vt:lpstr>NNNdec1_2026</vt:lpstr>
      <vt:lpstr>NNNdec1_2027</vt:lpstr>
      <vt:lpstr>NNNdec1_2028</vt:lpstr>
      <vt:lpstr>NNNdec1_2029</vt:lpstr>
      <vt:lpstr>NNNdec1_2030</vt:lpstr>
      <vt:lpstr>p_1</vt:lpstr>
      <vt:lpstr>ParDec1</vt:lpstr>
      <vt:lpstr>QU</vt:lpstr>
      <vt:lpstr>TempRostaSocTr2016</vt:lpstr>
      <vt:lpstr>TempRostaSocTr2017</vt:lpstr>
      <vt:lpstr>TempRostaZPBud</vt:lpstr>
      <vt:lpstr>z1bud</vt:lpstr>
    </vt:vector>
  </TitlesOfParts>
  <Company>DG Win&amp;Soft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Admin</cp:lastModifiedBy>
  <cp:lastPrinted>2019-03-28T15:24:29Z</cp:lastPrinted>
  <dcterms:created xsi:type="dcterms:W3CDTF">2018-05-14T00:49:44Z</dcterms:created>
  <dcterms:modified xsi:type="dcterms:W3CDTF">2020-06-20T20:20:00Z</dcterms:modified>
</cp:coreProperties>
</file>